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ropbox\Personal\JoubConsult\POAP\"/>
    </mc:Choice>
  </mc:AlternateContent>
  <xr:revisionPtr revIDLastSave="0" documentId="8_{C8B94E9E-2367-47EF-95BE-2468E3CAEB07}" xr6:coauthVersionLast="47" xr6:coauthVersionMax="47" xr10:uidLastSave="{00000000-0000-0000-0000-000000000000}"/>
  <bookViews>
    <workbookView xWindow="-110" yWindow="-110" windowWidth="19420" windowHeight="10300" activeTab="2" xr2:uid="{8284C6CC-30C2-4212-AE7F-632859293B5E}"/>
  </bookViews>
  <sheets>
    <sheet name="PROD" sheetId="1" r:id="rId1"/>
    <sheet name="TEST" sheetId="10" r:id="rId2"/>
    <sheet name="DEV" sheetId="9" r:id="rId3"/>
    <sheet name="lkup" sheetId="2" r:id="rId4"/>
  </sheets>
  <definedNames>
    <definedName name="_xlnm._FilterDatabase" localSheetId="2" hidden="1">DEV!$A$3:$AX$27</definedName>
    <definedName name="_xlnm._FilterDatabase" localSheetId="0" hidden="1">PROD!$A$3:$AX$23</definedName>
    <definedName name="_xlnm._FilterDatabase" localSheetId="1" hidden="1">TEST!$A$3:$AX$23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9" l="1"/>
  <c r="F11" i="9" s="1"/>
  <c r="D9" i="9"/>
  <c r="F12" i="9"/>
  <c r="F21" i="10"/>
  <c r="D22" i="10" s="1"/>
  <c r="F22" i="10" s="1"/>
  <c r="F19" i="10"/>
  <c r="D20" i="10" s="1"/>
  <c r="F20" i="10" s="1"/>
  <c r="D21" i="10" s="1"/>
  <c r="F17" i="10"/>
  <c r="K16" i="10"/>
  <c r="F16" i="10"/>
  <c r="F15" i="10"/>
  <c r="F14" i="10"/>
  <c r="F12" i="10"/>
  <c r="K11" i="10"/>
  <c r="F11" i="10"/>
  <c r="F10" i="10"/>
  <c r="K9" i="10"/>
  <c r="F9" i="10"/>
  <c r="D7" i="10"/>
  <c r="F7" i="10" s="1"/>
  <c r="K6" i="10"/>
  <c r="D6" i="10"/>
  <c r="F5" i="10"/>
  <c r="K5" i="10" s="1"/>
  <c r="K4" i="10"/>
  <c r="K2" i="10"/>
  <c r="K14" i="10" s="1"/>
  <c r="K1" i="10"/>
  <c r="F23" i="9"/>
  <c r="F21" i="9"/>
  <c r="F20" i="9"/>
  <c r="F19" i="9"/>
  <c r="F18" i="9"/>
  <c r="F16" i="9"/>
  <c r="F15" i="9"/>
  <c r="F14" i="9"/>
  <c r="F9" i="9"/>
  <c r="D7" i="9"/>
  <c r="F7" i="9" s="1"/>
  <c r="F5" i="9"/>
  <c r="D6" i="9" s="1"/>
  <c r="K2" i="9"/>
  <c r="K8" i="9" s="1"/>
  <c r="D7" i="1"/>
  <c r="K11" i="9" l="1"/>
  <c r="K12" i="9"/>
  <c r="K13" i="9"/>
  <c r="K21" i="9"/>
  <c r="K10" i="9"/>
  <c r="L2" i="9"/>
  <c r="K4" i="9"/>
  <c r="K22" i="9"/>
  <c r="K9" i="9"/>
  <c r="K6" i="9"/>
  <c r="K19" i="9"/>
  <c r="K20" i="9"/>
  <c r="K7" i="10"/>
  <c r="K19" i="10"/>
  <c r="K18" i="10"/>
  <c r="K22" i="10"/>
  <c r="K23" i="10"/>
  <c r="K21" i="10"/>
  <c r="K12" i="10"/>
  <c r="L2" i="10"/>
  <c r="K13" i="10"/>
  <c r="K17" i="10"/>
  <c r="K8" i="10"/>
  <c r="K15" i="10"/>
  <c r="K20" i="10"/>
  <c r="K10" i="10"/>
  <c r="K5" i="9"/>
  <c r="D24" i="9"/>
  <c r="F24" i="9" s="1"/>
  <c r="K23" i="9"/>
  <c r="K16" i="9"/>
  <c r="L20" i="9"/>
  <c r="L8" i="9"/>
  <c r="K27" i="9"/>
  <c r="K7" i="9"/>
  <c r="K14" i="9"/>
  <c r="K17" i="9"/>
  <c r="K15" i="9"/>
  <c r="K18" i="9"/>
  <c r="F5" i="1"/>
  <c r="D6" i="1" s="1"/>
  <c r="F7" i="1"/>
  <c r="F9" i="1"/>
  <c r="F10" i="1"/>
  <c r="F11" i="1"/>
  <c r="F12" i="1"/>
  <c r="F14" i="1"/>
  <c r="F15" i="1"/>
  <c r="F16" i="1"/>
  <c r="F17" i="1"/>
  <c r="F19" i="1"/>
  <c r="D20" i="1" s="1"/>
  <c r="F20" i="1" s="1"/>
  <c r="D21" i="1" s="1"/>
  <c r="F21" i="1" s="1"/>
  <c r="D22" i="1" s="1"/>
  <c r="F22" i="1" s="1"/>
  <c r="K2" i="1"/>
  <c r="L2" i="1" s="1"/>
  <c r="L24" i="9" l="1"/>
  <c r="L14" i="9"/>
  <c r="K1" i="9"/>
  <c r="L6" i="9"/>
  <c r="L17" i="9"/>
  <c r="L19" i="9"/>
  <c r="L22" i="9"/>
  <c r="L9" i="9"/>
  <c r="L15" i="9"/>
  <c r="L21" i="9"/>
  <c r="L7" i="9"/>
  <c r="L27" i="9"/>
  <c r="L4" i="9"/>
  <c r="L12" i="9"/>
  <c r="L13" i="9"/>
  <c r="L11" i="9"/>
  <c r="L5" i="9"/>
  <c r="L16" i="9"/>
  <c r="L23" i="9"/>
  <c r="L18" i="9"/>
  <c r="L10" i="9"/>
  <c r="M2" i="9"/>
  <c r="L22" i="10"/>
  <c r="L7" i="10"/>
  <c r="L23" i="10"/>
  <c r="L21" i="10"/>
  <c r="L12" i="10"/>
  <c r="L11" i="10"/>
  <c r="L10" i="10"/>
  <c r="L9" i="10"/>
  <c r="L8" i="10"/>
  <c r="L20" i="10"/>
  <c r="L17" i="10"/>
  <c r="L16" i="10"/>
  <c r="L15" i="10"/>
  <c r="L14" i="10"/>
  <c r="L13" i="10"/>
  <c r="L19" i="10"/>
  <c r="M2" i="10"/>
  <c r="L4" i="10"/>
  <c r="L18" i="10"/>
  <c r="L6" i="10"/>
  <c r="L5" i="10"/>
  <c r="D25" i="9"/>
  <c r="F25" i="9" s="1"/>
  <c r="K24" i="9"/>
  <c r="M24" i="9"/>
  <c r="K1" i="1"/>
  <c r="K13" i="1"/>
  <c r="K8" i="1"/>
  <c r="L18" i="1"/>
  <c r="L17" i="1"/>
  <c r="L16" i="1"/>
  <c r="L23" i="1"/>
  <c r="L21" i="1"/>
  <c r="L13" i="1"/>
  <c r="L11" i="1"/>
  <c r="L10" i="1"/>
  <c r="M2" i="1"/>
  <c r="L15" i="1"/>
  <c r="L14" i="1"/>
  <c r="L7" i="1"/>
  <c r="L6" i="1"/>
  <c r="L5" i="1"/>
  <c r="L4" i="1"/>
  <c r="L20" i="1"/>
  <c r="L22" i="1"/>
  <c r="L8" i="1"/>
  <c r="L9" i="1"/>
  <c r="L19" i="1"/>
  <c r="K15" i="1"/>
  <c r="L12" i="1"/>
  <c r="K20" i="1"/>
  <c r="K4" i="1"/>
  <c r="K5" i="1"/>
  <c r="K6" i="1"/>
  <c r="K7" i="1"/>
  <c r="K19" i="1"/>
  <c r="K18" i="1"/>
  <c r="K17" i="1"/>
  <c r="K22" i="1"/>
  <c r="K14" i="1"/>
  <c r="K12" i="1"/>
  <c r="K10" i="1"/>
  <c r="K21" i="1"/>
  <c r="K23" i="1"/>
  <c r="K9" i="1"/>
  <c r="K11" i="1"/>
  <c r="K16" i="1"/>
  <c r="M11" i="9" l="1"/>
  <c r="M13" i="9"/>
  <c r="M12" i="9"/>
  <c r="M10" i="9"/>
  <c r="M19" i="9"/>
  <c r="M20" i="9"/>
  <c r="M6" i="9"/>
  <c r="M27" i="9"/>
  <c r="M16" i="9"/>
  <c r="M21" i="9"/>
  <c r="M23" i="9"/>
  <c r="M9" i="9"/>
  <c r="M15" i="9"/>
  <c r="M22" i="9"/>
  <c r="M18" i="9"/>
  <c r="M4" i="9"/>
  <c r="M14" i="9"/>
  <c r="N2" i="9"/>
  <c r="M5" i="9"/>
  <c r="M7" i="9"/>
  <c r="M17" i="9"/>
  <c r="M8" i="9"/>
  <c r="M22" i="10"/>
  <c r="M7" i="10"/>
  <c r="M23" i="10"/>
  <c r="M21" i="10"/>
  <c r="M12" i="10"/>
  <c r="M11" i="10"/>
  <c r="M10" i="10"/>
  <c r="M9" i="10"/>
  <c r="M8" i="10"/>
  <c r="M20" i="10"/>
  <c r="M17" i="10"/>
  <c r="M16" i="10"/>
  <c r="M15" i="10"/>
  <c r="M14" i="10"/>
  <c r="M13" i="10"/>
  <c r="M19" i="10"/>
  <c r="M18" i="10"/>
  <c r="N2" i="10"/>
  <c r="M6" i="10"/>
  <c r="M5" i="10"/>
  <c r="M4" i="10"/>
  <c r="D26" i="9"/>
  <c r="F26" i="9" s="1"/>
  <c r="M25" i="9"/>
  <c r="K25" i="9"/>
  <c r="L25" i="9"/>
  <c r="M17" i="1"/>
  <c r="M16" i="1"/>
  <c r="M15" i="1"/>
  <c r="M20" i="1"/>
  <c r="M10" i="1"/>
  <c r="M9" i="1"/>
  <c r="M8" i="1"/>
  <c r="M23" i="1"/>
  <c r="M21" i="1"/>
  <c r="N2" i="1"/>
  <c r="M19" i="1"/>
  <c r="M22" i="1"/>
  <c r="M13" i="1"/>
  <c r="M12" i="1"/>
  <c r="M18" i="1"/>
  <c r="M11" i="1"/>
  <c r="M5" i="1"/>
  <c r="M4" i="1"/>
  <c r="M6" i="1"/>
  <c r="M14" i="1"/>
  <c r="M7" i="1"/>
  <c r="N25" i="9" l="1"/>
  <c r="N13" i="9"/>
  <c r="N12" i="9"/>
  <c r="N11" i="9"/>
  <c r="N10" i="9"/>
  <c r="N17" i="9"/>
  <c r="N4" i="9"/>
  <c r="N14" i="9"/>
  <c r="N27" i="9"/>
  <c r="N19" i="9"/>
  <c r="N9" i="9"/>
  <c r="N22" i="9"/>
  <c r="N5" i="9"/>
  <c r="N15" i="9"/>
  <c r="N8" i="9"/>
  <c r="N7" i="9"/>
  <c r="N23" i="9"/>
  <c r="O2" i="9"/>
  <c r="N24" i="9"/>
  <c r="N6" i="9"/>
  <c r="N21" i="9"/>
  <c r="N20" i="9"/>
  <c r="N18" i="9"/>
  <c r="N16" i="9"/>
  <c r="N22" i="10"/>
  <c r="N23" i="10"/>
  <c r="N21" i="10"/>
  <c r="N12" i="10"/>
  <c r="N11" i="10"/>
  <c r="N10" i="10"/>
  <c r="N9" i="10"/>
  <c r="N8" i="10"/>
  <c r="N20" i="10"/>
  <c r="N17" i="10"/>
  <c r="N16" i="10"/>
  <c r="N15" i="10"/>
  <c r="N14" i="10"/>
  <c r="N13" i="10"/>
  <c r="N19" i="10"/>
  <c r="N18" i="10"/>
  <c r="N6" i="10"/>
  <c r="N5" i="10"/>
  <c r="N4" i="10"/>
  <c r="N7" i="10"/>
  <c r="O2" i="10"/>
  <c r="K26" i="9"/>
  <c r="L26" i="9"/>
  <c r="M26" i="9"/>
  <c r="N26" i="9"/>
  <c r="N16" i="1"/>
  <c r="N15" i="1"/>
  <c r="N22" i="1"/>
  <c r="N19" i="1"/>
  <c r="N23" i="1"/>
  <c r="N21" i="1"/>
  <c r="N10" i="1"/>
  <c r="O2" i="1"/>
  <c r="N14" i="1"/>
  <c r="N7" i="1"/>
  <c r="N6" i="1"/>
  <c r="N5" i="1"/>
  <c r="N4" i="1"/>
  <c r="N13" i="1"/>
  <c r="N12" i="1"/>
  <c r="N8" i="1"/>
  <c r="N20" i="1"/>
  <c r="N18" i="1"/>
  <c r="N11" i="1"/>
  <c r="N17" i="1"/>
  <c r="N9" i="1"/>
  <c r="O13" i="9" l="1"/>
  <c r="O12" i="9"/>
  <c r="O11" i="9"/>
  <c r="O10" i="9"/>
  <c r="O23" i="9"/>
  <c r="O21" i="9"/>
  <c r="O16" i="9"/>
  <c r="O18" i="9"/>
  <c r="O15" i="9"/>
  <c r="O5" i="9"/>
  <c r="O22" i="9"/>
  <c r="O9" i="9"/>
  <c r="O24" i="9"/>
  <c r="O27" i="9"/>
  <c r="O26" i="9"/>
  <c r="O20" i="9"/>
  <c r="O14" i="9"/>
  <c r="P2" i="9"/>
  <c r="O19" i="9"/>
  <c r="O8" i="9"/>
  <c r="O25" i="9"/>
  <c r="O7" i="9"/>
  <c r="O17" i="9"/>
  <c r="O6" i="9"/>
  <c r="O4" i="9"/>
  <c r="O22" i="10"/>
  <c r="O23" i="10"/>
  <c r="O21" i="10"/>
  <c r="O20" i="10"/>
  <c r="O17" i="10"/>
  <c r="O16" i="10"/>
  <c r="O15" i="10"/>
  <c r="O14" i="10"/>
  <c r="O13" i="10"/>
  <c r="O19" i="10"/>
  <c r="O18" i="10"/>
  <c r="O9" i="10"/>
  <c r="P2" i="10"/>
  <c r="O8" i="10"/>
  <c r="O6" i="10"/>
  <c r="O5" i="10"/>
  <c r="O4" i="10"/>
  <c r="O12" i="10"/>
  <c r="O7" i="10"/>
  <c r="O10" i="10"/>
  <c r="O11" i="10"/>
  <c r="O15" i="1"/>
  <c r="O22" i="1"/>
  <c r="O14" i="1"/>
  <c r="O12" i="1"/>
  <c r="O23" i="1"/>
  <c r="O21" i="1"/>
  <c r="O18" i="1"/>
  <c r="O7" i="1"/>
  <c r="O19" i="1"/>
  <c r="O6" i="1"/>
  <c r="O17" i="1"/>
  <c r="O20" i="1"/>
  <c r="O11" i="1"/>
  <c r="O9" i="1"/>
  <c r="O16" i="1"/>
  <c r="O10" i="1"/>
  <c r="P2" i="1"/>
  <c r="O5" i="1"/>
  <c r="O4" i="1"/>
  <c r="O13" i="1"/>
  <c r="O8" i="1"/>
  <c r="P13" i="9" l="1"/>
  <c r="P12" i="9"/>
  <c r="P11" i="9"/>
  <c r="P10" i="9"/>
  <c r="P20" i="9"/>
  <c r="P8" i="9"/>
  <c r="Q2" i="9"/>
  <c r="P18" i="9"/>
  <c r="P14" i="9"/>
  <c r="P17" i="9"/>
  <c r="P9" i="9"/>
  <c r="P16" i="9"/>
  <c r="P7" i="9"/>
  <c r="P19" i="9"/>
  <c r="P4" i="9"/>
  <c r="P15" i="9"/>
  <c r="O1" i="9"/>
  <c r="P21" i="9"/>
  <c r="P25" i="9"/>
  <c r="P5" i="9"/>
  <c r="P24" i="9"/>
  <c r="P23" i="9"/>
  <c r="P22" i="9"/>
  <c r="P27" i="9"/>
  <c r="P6" i="9"/>
  <c r="P26" i="9"/>
  <c r="P22" i="10"/>
  <c r="P23" i="10"/>
  <c r="P21" i="10"/>
  <c r="P20" i="10"/>
  <c r="P17" i="10"/>
  <c r="P16" i="10"/>
  <c r="P15" i="10"/>
  <c r="P14" i="10"/>
  <c r="P13" i="10"/>
  <c r="P19" i="10"/>
  <c r="P18" i="10"/>
  <c r="P8" i="10"/>
  <c r="P6" i="10"/>
  <c r="P5" i="10"/>
  <c r="P4" i="10"/>
  <c r="P7" i="10"/>
  <c r="O1" i="10"/>
  <c r="P11" i="10"/>
  <c r="P12" i="10"/>
  <c r="P10" i="10"/>
  <c r="P9" i="10"/>
  <c r="Q2" i="10"/>
  <c r="P22" i="1"/>
  <c r="P14" i="1"/>
  <c r="P12" i="1"/>
  <c r="P23" i="1"/>
  <c r="P21" i="1"/>
  <c r="P13" i="1"/>
  <c r="P11" i="1"/>
  <c r="P20" i="1"/>
  <c r="P17" i="1"/>
  <c r="P19" i="1"/>
  <c r="P7" i="1"/>
  <c r="P6" i="1"/>
  <c r="P5" i="1"/>
  <c r="P4" i="1"/>
  <c r="P8" i="1"/>
  <c r="P9" i="1"/>
  <c r="P18" i="1"/>
  <c r="O1" i="1"/>
  <c r="P16" i="1"/>
  <c r="Q2" i="1"/>
  <c r="P10" i="1"/>
  <c r="P15" i="1"/>
  <c r="Q13" i="9" l="1"/>
  <c r="Q12" i="9"/>
  <c r="Q11" i="9"/>
  <c r="Q10" i="9"/>
  <c r="Q16" i="9"/>
  <c r="Q24" i="9"/>
  <c r="Q7" i="9"/>
  <c r="Q20" i="9"/>
  <c r="Q27" i="9"/>
  <c r="Q9" i="9"/>
  <c r="Q6" i="9"/>
  <c r="Q4" i="9"/>
  <c r="Q5" i="9"/>
  <c r="Q17" i="9"/>
  <c r="Q25" i="9"/>
  <c r="Q21" i="9"/>
  <c r="R2" i="9"/>
  <c r="Q18" i="9"/>
  <c r="Q22" i="9"/>
  <c r="Q14" i="9"/>
  <c r="Q26" i="9"/>
  <c r="Q23" i="9"/>
  <c r="Q15" i="9"/>
  <c r="Q19" i="9"/>
  <c r="Q8" i="9"/>
  <c r="Q23" i="10"/>
  <c r="Q21" i="10"/>
  <c r="Q20" i="10"/>
  <c r="Q19" i="10"/>
  <c r="Q18" i="10"/>
  <c r="Q22" i="10"/>
  <c r="Q6" i="10"/>
  <c r="Q5" i="10"/>
  <c r="Q4" i="10"/>
  <c r="Q15" i="10"/>
  <c r="Q7" i="10"/>
  <c r="R2" i="10"/>
  <c r="Q17" i="10"/>
  <c r="Q13" i="10"/>
  <c r="Q16" i="10"/>
  <c r="Q9" i="10"/>
  <c r="Q14" i="10"/>
  <c r="Q11" i="10"/>
  <c r="Q12" i="10"/>
  <c r="Q10" i="10"/>
  <c r="Q8" i="10"/>
  <c r="Q23" i="1"/>
  <c r="Q21" i="1"/>
  <c r="Q13" i="1"/>
  <c r="Q11" i="1"/>
  <c r="Q20" i="1"/>
  <c r="Q10" i="1"/>
  <c r="Q9" i="1"/>
  <c r="Q8" i="1"/>
  <c r="Q19" i="1"/>
  <c r="Q16" i="1"/>
  <c r="Q17" i="1"/>
  <c r="Q14" i="1"/>
  <c r="Q15" i="1"/>
  <c r="Q22" i="1"/>
  <c r="Q18" i="1"/>
  <c r="R2" i="1"/>
  <c r="Q7" i="1"/>
  <c r="Q6" i="1"/>
  <c r="Q5" i="1"/>
  <c r="Q4" i="1"/>
  <c r="Q12" i="1"/>
  <c r="R13" i="9" l="1"/>
  <c r="R12" i="9"/>
  <c r="R11" i="9"/>
  <c r="R10" i="9"/>
  <c r="R20" i="9"/>
  <c r="R17" i="9"/>
  <c r="R7" i="9"/>
  <c r="R9" i="9"/>
  <c r="R21" i="9"/>
  <c r="R23" i="9"/>
  <c r="R19" i="9"/>
  <c r="R8" i="9"/>
  <c r="S2" i="9"/>
  <c r="R6" i="9"/>
  <c r="R22" i="9"/>
  <c r="R27" i="9"/>
  <c r="R24" i="9"/>
  <c r="R5" i="9"/>
  <c r="R25" i="9"/>
  <c r="R14" i="9"/>
  <c r="R15" i="9"/>
  <c r="R26" i="9"/>
  <c r="R16" i="9"/>
  <c r="R4" i="9"/>
  <c r="R18" i="9"/>
  <c r="R20" i="10"/>
  <c r="R17" i="10"/>
  <c r="R16" i="10"/>
  <c r="R15" i="10"/>
  <c r="R14" i="10"/>
  <c r="R19" i="10"/>
  <c r="R18" i="10"/>
  <c r="R22" i="10"/>
  <c r="R7" i="10"/>
  <c r="R23" i="10"/>
  <c r="R13" i="10"/>
  <c r="R11" i="10"/>
  <c r="R21" i="10"/>
  <c r="R12" i="10"/>
  <c r="R10" i="10"/>
  <c r="R9" i="10"/>
  <c r="S2" i="10"/>
  <c r="R8" i="10"/>
  <c r="R6" i="10"/>
  <c r="R5" i="10"/>
  <c r="R4" i="10"/>
  <c r="R20" i="1"/>
  <c r="R10" i="1"/>
  <c r="R19" i="1"/>
  <c r="R18" i="1"/>
  <c r="R15" i="1"/>
  <c r="R17" i="1"/>
  <c r="R14" i="1"/>
  <c r="R8" i="1"/>
  <c r="R22" i="1"/>
  <c r="R13" i="1"/>
  <c r="R12" i="1"/>
  <c r="R11" i="1"/>
  <c r="S2" i="1"/>
  <c r="R16" i="1"/>
  <c r="R23" i="1"/>
  <c r="R21" i="1"/>
  <c r="R5" i="1"/>
  <c r="R6" i="1"/>
  <c r="R4" i="1"/>
  <c r="R9" i="1"/>
  <c r="R7" i="1"/>
  <c r="S13" i="9" l="1"/>
  <c r="S12" i="9"/>
  <c r="S11" i="9"/>
  <c r="S10" i="9"/>
  <c r="S21" i="9"/>
  <c r="S8" i="9"/>
  <c r="S18" i="9"/>
  <c r="S5" i="9"/>
  <c r="S15" i="9"/>
  <c r="S20" i="9"/>
  <c r="S26" i="9"/>
  <c r="S17" i="9"/>
  <c r="S14" i="9"/>
  <c r="S27" i="9"/>
  <c r="S19" i="9"/>
  <c r="T2" i="9"/>
  <c r="S25" i="9"/>
  <c r="S9" i="9"/>
  <c r="S24" i="9"/>
  <c r="S4" i="9"/>
  <c r="S23" i="9"/>
  <c r="S22" i="9"/>
  <c r="S6" i="9"/>
  <c r="S16" i="9"/>
  <c r="S7" i="9"/>
  <c r="S19" i="10"/>
  <c r="S18" i="10"/>
  <c r="S22" i="10"/>
  <c r="S23" i="10"/>
  <c r="S21" i="10"/>
  <c r="S12" i="10"/>
  <c r="S15" i="10"/>
  <c r="S20" i="10"/>
  <c r="S13" i="10"/>
  <c r="S17" i="10"/>
  <c r="S11" i="10"/>
  <c r="S14" i="10"/>
  <c r="S10" i="10"/>
  <c r="S9" i="10"/>
  <c r="T2" i="10"/>
  <c r="S5" i="10"/>
  <c r="S4" i="10"/>
  <c r="S16" i="10"/>
  <c r="S8" i="10"/>
  <c r="S6" i="10"/>
  <c r="S7" i="10"/>
  <c r="S19" i="1"/>
  <c r="S18" i="1"/>
  <c r="S17" i="1"/>
  <c r="S22" i="1"/>
  <c r="S14" i="1"/>
  <c r="S12" i="1"/>
  <c r="S8" i="1"/>
  <c r="S15" i="1"/>
  <c r="S13" i="1"/>
  <c r="S9" i="1"/>
  <c r="S16" i="1"/>
  <c r="S23" i="1"/>
  <c r="S10" i="1"/>
  <c r="S7" i="1"/>
  <c r="S6" i="1"/>
  <c r="S5" i="1"/>
  <c r="S4" i="1"/>
  <c r="S21" i="1"/>
  <c r="S20" i="1"/>
  <c r="T2" i="1"/>
  <c r="S11" i="1"/>
  <c r="T11" i="9" l="1"/>
  <c r="T13" i="9"/>
  <c r="T12" i="9"/>
  <c r="T10" i="9"/>
  <c r="T20" i="9"/>
  <c r="T7" i="9"/>
  <c r="T16" i="9"/>
  <c r="T6" i="9"/>
  <c r="T18" i="9"/>
  <c r="T5" i="9"/>
  <c r="T19" i="9"/>
  <c r="T27" i="9"/>
  <c r="T8" i="9"/>
  <c r="T22" i="9"/>
  <c r="T21" i="9"/>
  <c r="T14" i="9"/>
  <c r="T9" i="9"/>
  <c r="T24" i="9"/>
  <c r="T17" i="9"/>
  <c r="T23" i="9"/>
  <c r="U2" i="9"/>
  <c r="T26" i="9"/>
  <c r="T15" i="9"/>
  <c r="T4" i="9"/>
  <c r="S1" i="9"/>
  <c r="T25" i="9"/>
  <c r="T22" i="10"/>
  <c r="T7" i="10"/>
  <c r="T23" i="10"/>
  <c r="T21" i="10"/>
  <c r="T12" i="10"/>
  <c r="T11" i="10"/>
  <c r="T10" i="10"/>
  <c r="T9" i="10"/>
  <c r="T8" i="10"/>
  <c r="T20" i="10"/>
  <c r="T17" i="10"/>
  <c r="T16" i="10"/>
  <c r="T15" i="10"/>
  <c r="T14" i="10"/>
  <c r="T13" i="10"/>
  <c r="U2" i="10"/>
  <c r="T19" i="10"/>
  <c r="T18" i="10"/>
  <c r="T6" i="10"/>
  <c r="T5" i="10"/>
  <c r="T4" i="10"/>
  <c r="S1" i="10"/>
  <c r="T18" i="1"/>
  <c r="T17" i="1"/>
  <c r="T16" i="1"/>
  <c r="T23" i="1"/>
  <c r="T21" i="1"/>
  <c r="T13" i="1"/>
  <c r="T11" i="1"/>
  <c r="T7" i="1"/>
  <c r="T15" i="1"/>
  <c r="T22" i="1"/>
  <c r="T12" i="1"/>
  <c r="T9" i="1"/>
  <c r="T20" i="1"/>
  <c r="U2" i="1"/>
  <c r="T10" i="1"/>
  <c r="T6" i="1"/>
  <c r="T5" i="1"/>
  <c r="T4" i="1"/>
  <c r="S1" i="1"/>
  <c r="T19" i="1"/>
  <c r="T14" i="1"/>
  <c r="T8" i="1"/>
  <c r="U11" i="9" l="1"/>
  <c r="U13" i="9"/>
  <c r="U12" i="9"/>
  <c r="U10" i="9"/>
  <c r="U8" i="9"/>
  <c r="U5" i="9"/>
  <c r="U15" i="9"/>
  <c r="U24" i="9"/>
  <c r="U25" i="9"/>
  <c r="U26" i="9"/>
  <c r="U6" i="9"/>
  <c r="U21" i="9"/>
  <c r="U14" i="9"/>
  <c r="V2" i="9"/>
  <c r="U18" i="9"/>
  <c r="U17" i="9"/>
  <c r="U27" i="9"/>
  <c r="U7" i="9"/>
  <c r="U16" i="9"/>
  <c r="U20" i="9"/>
  <c r="U9" i="9"/>
  <c r="U23" i="9"/>
  <c r="U22" i="9"/>
  <c r="U4" i="9"/>
  <c r="U19" i="9"/>
  <c r="U22" i="10"/>
  <c r="U7" i="10"/>
  <c r="U23" i="10"/>
  <c r="U21" i="10"/>
  <c r="U12" i="10"/>
  <c r="U11" i="10"/>
  <c r="U10" i="10"/>
  <c r="U9" i="10"/>
  <c r="U8" i="10"/>
  <c r="U20" i="10"/>
  <c r="U17" i="10"/>
  <c r="U16" i="10"/>
  <c r="U15" i="10"/>
  <c r="U14" i="10"/>
  <c r="U13" i="10"/>
  <c r="U19" i="10"/>
  <c r="U18" i="10"/>
  <c r="V2" i="10"/>
  <c r="U6" i="10"/>
  <c r="U5" i="10"/>
  <c r="U4" i="10"/>
  <c r="U17" i="1"/>
  <c r="U16" i="1"/>
  <c r="U15" i="1"/>
  <c r="U20" i="1"/>
  <c r="U10" i="1"/>
  <c r="U9" i="1"/>
  <c r="U8" i="1"/>
  <c r="U22" i="1"/>
  <c r="U13" i="1"/>
  <c r="U12" i="1"/>
  <c r="U11" i="1"/>
  <c r="U7" i="1"/>
  <c r="U19" i="1"/>
  <c r="U23" i="1"/>
  <c r="U21" i="1"/>
  <c r="V2" i="1"/>
  <c r="U4" i="1"/>
  <c r="U18" i="1"/>
  <c r="U14" i="1"/>
  <c r="U6" i="1"/>
  <c r="U5" i="1"/>
  <c r="V13" i="9" l="1"/>
  <c r="V12" i="9"/>
  <c r="V11" i="9"/>
  <c r="V10" i="9"/>
  <c r="V25" i="9"/>
  <c r="W2" i="9"/>
  <c r="V8" i="9"/>
  <c r="V19" i="9"/>
  <c r="V20" i="9"/>
  <c r="V27" i="9"/>
  <c r="V6" i="9"/>
  <c r="V17" i="9"/>
  <c r="V14" i="9"/>
  <c r="V18" i="9"/>
  <c r="V24" i="9"/>
  <c r="V5" i="9"/>
  <c r="V21" i="9"/>
  <c r="V26" i="9"/>
  <c r="V7" i="9"/>
  <c r="V16" i="9"/>
  <c r="V15" i="9"/>
  <c r="V23" i="9"/>
  <c r="V22" i="9"/>
  <c r="V4" i="9"/>
  <c r="V9" i="9"/>
  <c r="V22" i="10"/>
  <c r="V23" i="10"/>
  <c r="V21" i="10"/>
  <c r="V12" i="10"/>
  <c r="V11" i="10"/>
  <c r="V10" i="10"/>
  <c r="V9" i="10"/>
  <c r="V8" i="10"/>
  <c r="V20" i="10"/>
  <c r="V17" i="10"/>
  <c r="V16" i="10"/>
  <c r="V15" i="10"/>
  <c r="V14" i="10"/>
  <c r="V13" i="10"/>
  <c r="V19" i="10"/>
  <c r="V18" i="10"/>
  <c r="V6" i="10"/>
  <c r="V5" i="10"/>
  <c r="V4" i="10"/>
  <c r="V7" i="10"/>
  <c r="W2" i="10"/>
  <c r="V16" i="1"/>
  <c r="V15" i="1"/>
  <c r="V22" i="1"/>
  <c r="V19" i="1"/>
  <c r="V9" i="1"/>
  <c r="W2" i="1"/>
  <c r="V20" i="1"/>
  <c r="V11" i="1"/>
  <c r="V18" i="1"/>
  <c r="V6" i="1"/>
  <c r="V5" i="1"/>
  <c r="V4" i="1"/>
  <c r="V23" i="1"/>
  <c r="V21" i="1"/>
  <c r="V14" i="1"/>
  <c r="V17" i="1"/>
  <c r="V13" i="1"/>
  <c r="V12" i="1"/>
  <c r="V7" i="1"/>
  <c r="V10" i="1"/>
  <c r="V8" i="1"/>
  <c r="W13" i="9" l="1"/>
  <c r="W12" i="9"/>
  <c r="W11" i="9"/>
  <c r="W10" i="9"/>
  <c r="W9" i="9"/>
  <c r="W4" i="9"/>
  <c r="W8" i="9"/>
  <c r="W7" i="9"/>
  <c r="W26" i="9"/>
  <c r="W25" i="9"/>
  <c r="W19" i="9"/>
  <c r="W17" i="9"/>
  <c r="W21" i="9"/>
  <c r="W5" i="9"/>
  <c r="W23" i="9"/>
  <c r="W22" i="9"/>
  <c r="W27" i="9"/>
  <c r="W24" i="9"/>
  <c r="W18" i="9"/>
  <c r="W15" i="9"/>
  <c r="W6" i="9"/>
  <c r="W20" i="9"/>
  <c r="W16" i="9"/>
  <c r="W14" i="9"/>
  <c r="X2" i="9"/>
  <c r="W22" i="10"/>
  <c r="W23" i="10"/>
  <c r="W21" i="10"/>
  <c r="W20" i="10"/>
  <c r="W17" i="10"/>
  <c r="W16" i="10"/>
  <c r="W15" i="10"/>
  <c r="W14" i="10"/>
  <c r="W13" i="10"/>
  <c r="W19" i="10"/>
  <c r="W18" i="10"/>
  <c r="X2" i="10"/>
  <c r="W11" i="10"/>
  <c r="W10" i="10"/>
  <c r="W6" i="10"/>
  <c r="W5" i="10"/>
  <c r="W4" i="10"/>
  <c r="W12" i="10"/>
  <c r="W9" i="10"/>
  <c r="W8" i="10"/>
  <c r="W7" i="10"/>
  <c r="W15" i="1"/>
  <c r="W22" i="1"/>
  <c r="W14" i="1"/>
  <c r="W12" i="1"/>
  <c r="W23" i="1"/>
  <c r="W21" i="1"/>
  <c r="W18" i="1"/>
  <c r="W20" i="1"/>
  <c r="W11" i="1"/>
  <c r="W6" i="1"/>
  <c r="W5" i="1"/>
  <c r="W4" i="1"/>
  <c r="W10" i="1"/>
  <c r="W7" i="1"/>
  <c r="W19" i="1"/>
  <c r="W8" i="1"/>
  <c r="W17" i="1"/>
  <c r="W9" i="1"/>
  <c r="X2" i="1"/>
  <c r="W16" i="1"/>
  <c r="W13" i="1"/>
  <c r="X13" i="9" l="1"/>
  <c r="X12" i="9"/>
  <c r="X11" i="9"/>
  <c r="X10" i="9"/>
  <c r="X18" i="9"/>
  <c r="X25" i="9"/>
  <c r="Y2" i="9"/>
  <c r="X17" i="9"/>
  <c r="X15" i="9"/>
  <c r="X23" i="9"/>
  <c r="X6" i="9"/>
  <c r="W1" i="9"/>
  <c r="X24" i="9"/>
  <c r="X14" i="9"/>
  <c r="X4" i="9"/>
  <c r="X20" i="9"/>
  <c r="X8" i="9"/>
  <c r="X27" i="9"/>
  <c r="X26" i="9"/>
  <c r="X21" i="9"/>
  <c r="X7" i="9"/>
  <c r="X16" i="9"/>
  <c r="X9" i="9"/>
  <c r="X19" i="9"/>
  <c r="X5" i="9"/>
  <c r="X22" i="9"/>
  <c r="X22" i="10"/>
  <c r="X23" i="10"/>
  <c r="X21" i="10"/>
  <c r="X20" i="10"/>
  <c r="X17" i="10"/>
  <c r="X16" i="10"/>
  <c r="X15" i="10"/>
  <c r="X14" i="10"/>
  <c r="X13" i="10"/>
  <c r="X19" i="10"/>
  <c r="X18" i="10"/>
  <c r="X11" i="10"/>
  <c r="X10" i="10"/>
  <c r="X6" i="10"/>
  <c r="X5" i="10"/>
  <c r="X4" i="10"/>
  <c r="X12" i="10"/>
  <c r="X9" i="10"/>
  <c r="X8" i="10"/>
  <c r="X7" i="10"/>
  <c r="W1" i="10"/>
  <c r="Y2" i="10"/>
  <c r="X22" i="1"/>
  <c r="X14" i="1"/>
  <c r="X12" i="1"/>
  <c r="X23" i="1"/>
  <c r="X21" i="1"/>
  <c r="X13" i="1"/>
  <c r="X11" i="1"/>
  <c r="X7" i="1"/>
  <c r="X20" i="1"/>
  <c r="X17" i="1"/>
  <c r="X6" i="1"/>
  <c r="X5" i="1"/>
  <c r="X4" i="1"/>
  <c r="X18" i="1"/>
  <c r="X10" i="1"/>
  <c r="X16" i="1"/>
  <c r="X19" i="1"/>
  <c r="X8" i="1"/>
  <c r="X15" i="1"/>
  <c r="Y2" i="1"/>
  <c r="X9" i="1"/>
  <c r="W1" i="1"/>
  <c r="Y13" i="9" l="1"/>
  <c r="Y12" i="9"/>
  <c r="Y11" i="9"/>
  <c r="Y10" i="9"/>
  <c r="Y21" i="9"/>
  <c r="Y4" i="9"/>
  <c r="Y7" i="9"/>
  <c r="Y26" i="9"/>
  <c r="Y17" i="9"/>
  <c r="Y22" i="9"/>
  <c r="Y15" i="9"/>
  <c r="Y9" i="9"/>
  <c r="Y24" i="9"/>
  <c r="Y19" i="9"/>
  <c r="Y5" i="9"/>
  <c r="Z2" i="9"/>
  <c r="Y27" i="9"/>
  <c r="Y25" i="9"/>
  <c r="Y14" i="9"/>
  <c r="Y16" i="9"/>
  <c r="Y20" i="9"/>
  <c r="Y8" i="9"/>
  <c r="Y23" i="9"/>
  <c r="Y18" i="9"/>
  <c r="Y6" i="9"/>
  <c r="Y23" i="10"/>
  <c r="Y21" i="10"/>
  <c r="Y20" i="10"/>
  <c r="Y19" i="10"/>
  <c r="Y18" i="10"/>
  <c r="Y13" i="10"/>
  <c r="Y10" i="10"/>
  <c r="Y6" i="10"/>
  <c r="Y5" i="10"/>
  <c r="Y4" i="10"/>
  <c r="Y17" i="10"/>
  <c r="Y12" i="10"/>
  <c r="Y9" i="10"/>
  <c r="Y14" i="10"/>
  <c r="Y8" i="10"/>
  <c r="Y7" i="10"/>
  <c r="Y22" i="10"/>
  <c r="Y16" i="10"/>
  <c r="Z2" i="10"/>
  <c r="Y15" i="10"/>
  <c r="Y11" i="10"/>
  <c r="Y23" i="1"/>
  <c r="Y21" i="1"/>
  <c r="Y13" i="1"/>
  <c r="Y11" i="1"/>
  <c r="Y20" i="1"/>
  <c r="Y10" i="1"/>
  <c r="Y9" i="1"/>
  <c r="Y8" i="1"/>
  <c r="Y19" i="1"/>
  <c r="Y16" i="1"/>
  <c r="Y18" i="1"/>
  <c r="Y7" i="1"/>
  <c r="Y14" i="1"/>
  <c r="Y17" i="1"/>
  <c r="Z2" i="1"/>
  <c r="Y22" i="1"/>
  <c r="Y6" i="1"/>
  <c r="Y5" i="1"/>
  <c r="Y4" i="1"/>
  <c r="Y12" i="1"/>
  <c r="Y15" i="1"/>
  <c r="Z12" i="9" l="1"/>
  <c r="Z13" i="9"/>
  <c r="Z11" i="9"/>
  <c r="Z10" i="9"/>
  <c r="Z19" i="9"/>
  <c r="Z21" i="9"/>
  <c r="Z6" i="9"/>
  <c r="Z14" i="9"/>
  <c r="Z25" i="9"/>
  <c r="Z4" i="9"/>
  <c r="Z24" i="9"/>
  <c r="Z26" i="9"/>
  <c r="Z16" i="9"/>
  <c r="Z20" i="9"/>
  <c r="Z17" i="9"/>
  <c r="Z9" i="9"/>
  <c r="Z18" i="9"/>
  <c r="Z7" i="9"/>
  <c r="Z22" i="9"/>
  <c r="Z8" i="9"/>
  <c r="Z27" i="9"/>
  <c r="Z23" i="9"/>
  <c r="Z5" i="9"/>
  <c r="Z15" i="9"/>
  <c r="AA2" i="9"/>
  <c r="Z20" i="10"/>
  <c r="Z17" i="10"/>
  <c r="Z16" i="10"/>
  <c r="Z15" i="10"/>
  <c r="Z14" i="10"/>
  <c r="Z19" i="10"/>
  <c r="Z18" i="10"/>
  <c r="Z22" i="10"/>
  <c r="Z12" i="10"/>
  <c r="Z9" i="10"/>
  <c r="Z23" i="10"/>
  <c r="Z8" i="10"/>
  <c r="Z7" i="10"/>
  <c r="Z21" i="10"/>
  <c r="Z11" i="10"/>
  <c r="AA2" i="10"/>
  <c r="Z13" i="10"/>
  <c r="Z10" i="10"/>
  <c r="Z6" i="10"/>
  <c r="Z4" i="10"/>
  <c r="Z5" i="10"/>
  <c r="Z20" i="1"/>
  <c r="Z10" i="1"/>
  <c r="Z19" i="1"/>
  <c r="Z18" i="1"/>
  <c r="Z15" i="1"/>
  <c r="Z7" i="1"/>
  <c r="Z16" i="1"/>
  <c r="Z21" i="1"/>
  <c r="Z17" i="1"/>
  <c r="AA2" i="1"/>
  <c r="Z13" i="1"/>
  <c r="Z12" i="1"/>
  <c r="Z9" i="1"/>
  <c r="Z22" i="1"/>
  <c r="Z11" i="1"/>
  <c r="Z23" i="1"/>
  <c r="Z4" i="1"/>
  <c r="Z14" i="1"/>
  <c r="Z5" i="1"/>
  <c r="Z8" i="1"/>
  <c r="Z6" i="1"/>
  <c r="AA13" i="9" l="1"/>
  <c r="AA12" i="9"/>
  <c r="AA11" i="9"/>
  <c r="AA10" i="9"/>
  <c r="AA23" i="9"/>
  <c r="AA21" i="9"/>
  <c r="AA5" i="9"/>
  <c r="AA6" i="9"/>
  <c r="AA24" i="9"/>
  <c r="AA27" i="9"/>
  <c r="AA7" i="9"/>
  <c r="AA8" i="9"/>
  <c r="AA18" i="9"/>
  <c r="AA20" i="9"/>
  <c r="AA22" i="9"/>
  <c r="AA26" i="9"/>
  <c r="AA4" i="9"/>
  <c r="AA19" i="9"/>
  <c r="AA17" i="9"/>
  <c r="AA14" i="9"/>
  <c r="AA16" i="9"/>
  <c r="AA25" i="9"/>
  <c r="AA9" i="9"/>
  <c r="AA15" i="9"/>
  <c r="AB2" i="9"/>
  <c r="AA19" i="10"/>
  <c r="AA18" i="10"/>
  <c r="AA22" i="10"/>
  <c r="AA23" i="10"/>
  <c r="AA21" i="10"/>
  <c r="AA12" i="10"/>
  <c r="AA20" i="10"/>
  <c r="AA17" i="10"/>
  <c r="AA8" i="10"/>
  <c r="AA14" i="10"/>
  <c r="AA7" i="10"/>
  <c r="AA6" i="10"/>
  <c r="AA4" i="10"/>
  <c r="AA16" i="10"/>
  <c r="AA15" i="10"/>
  <c r="AA13" i="10"/>
  <c r="AB2" i="10"/>
  <c r="AA5" i="10"/>
  <c r="AA11" i="10"/>
  <c r="AA10" i="10"/>
  <c r="AA9" i="10"/>
  <c r="AA19" i="1"/>
  <c r="AA18" i="1"/>
  <c r="AA17" i="1"/>
  <c r="AA22" i="1"/>
  <c r="AA14" i="1"/>
  <c r="AA12" i="1"/>
  <c r="AA16" i="1"/>
  <c r="AA10" i="1"/>
  <c r="AA23" i="1"/>
  <c r="AA21" i="1"/>
  <c r="AA8" i="1"/>
  <c r="AA13" i="1"/>
  <c r="AA9" i="1"/>
  <c r="AA15" i="1"/>
  <c r="AA6" i="1"/>
  <c r="AA5" i="1"/>
  <c r="AA4" i="1"/>
  <c r="AA20" i="1"/>
  <c r="AA7" i="1"/>
  <c r="AB2" i="1"/>
  <c r="AA11" i="1"/>
  <c r="AB13" i="9" l="1"/>
  <c r="AB12" i="9"/>
  <c r="AB11" i="9"/>
  <c r="AB10" i="9"/>
  <c r="AB20" i="9"/>
  <c r="AB4" i="9"/>
  <c r="AB14" i="9"/>
  <c r="AB19" i="9"/>
  <c r="AB7" i="9"/>
  <c r="AB16" i="9"/>
  <c r="AB17" i="9"/>
  <c r="AB5" i="9"/>
  <c r="AB22" i="9"/>
  <c r="AB25" i="9"/>
  <c r="AA1" i="9"/>
  <c r="AB26" i="9"/>
  <c r="AB18" i="9"/>
  <c r="AB8" i="9"/>
  <c r="AB23" i="9"/>
  <c r="AB6" i="9"/>
  <c r="AB27" i="9"/>
  <c r="AB15" i="9"/>
  <c r="AC2" i="9"/>
  <c r="AB21" i="9"/>
  <c r="AB9" i="9"/>
  <c r="AB24" i="9"/>
  <c r="AB22" i="10"/>
  <c r="AB7" i="10"/>
  <c r="AB23" i="10"/>
  <c r="AB21" i="10"/>
  <c r="AB12" i="10"/>
  <c r="AB11" i="10"/>
  <c r="AB10" i="10"/>
  <c r="AB9" i="10"/>
  <c r="AB8" i="10"/>
  <c r="AB20" i="10"/>
  <c r="AB17" i="10"/>
  <c r="AB16" i="10"/>
  <c r="AB15" i="10"/>
  <c r="AB14" i="10"/>
  <c r="AB13" i="10"/>
  <c r="AB18" i="10"/>
  <c r="AC2" i="10"/>
  <c r="AA1" i="10"/>
  <c r="AB4" i="10"/>
  <c r="AB19" i="10"/>
  <c r="AB6" i="10"/>
  <c r="AB5" i="10"/>
  <c r="AB18" i="1"/>
  <c r="AB17" i="1"/>
  <c r="AB16" i="1"/>
  <c r="AB23" i="1"/>
  <c r="AB21" i="1"/>
  <c r="AB13" i="1"/>
  <c r="AB11" i="1"/>
  <c r="AB7" i="1"/>
  <c r="AB8" i="1"/>
  <c r="AB14" i="1"/>
  <c r="AC2" i="1"/>
  <c r="AA1" i="1"/>
  <c r="AB15" i="1"/>
  <c r="AB12" i="1"/>
  <c r="AB6" i="1"/>
  <c r="AB5" i="1"/>
  <c r="AB4" i="1"/>
  <c r="AB22" i="1"/>
  <c r="AB20" i="1"/>
  <c r="AB10" i="1"/>
  <c r="AB19" i="1"/>
  <c r="AB9" i="1"/>
  <c r="AC13" i="9" l="1"/>
  <c r="AC12" i="9"/>
  <c r="AC11" i="9"/>
  <c r="AC10" i="9"/>
  <c r="AC18" i="9"/>
  <c r="AC7" i="9"/>
  <c r="AC27" i="9"/>
  <c r="AC15" i="9"/>
  <c r="AC21" i="9"/>
  <c r="AD2" i="9"/>
  <c r="AC5" i="9"/>
  <c r="AC23" i="9"/>
  <c r="AC24" i="9"/>
  <c r="AC16" i="9"/>
  <c r="AC22" i="9"/>
  <c r="AC19" i="9"/>
  <c r="AC20" i="9"/>
  <c r="AC4" i="9"/>
  <c r="AC8" i="9"/>
  <c r="AC17" i="9"/>
  <c r="AC25" i="9"/>
  <c r="AC26" i="9"/>
  <c r="AC6" i="9"/>
  <c r="AC9" i="9"/>
  <c r="AC14" i="9"/>
  <c r="AC22" i="10"/>
  <c r="AC7" i="10"/>
  <c r="AC23" i="10"/>
  <c r="AC21" i="10"/>
  <c r="AC12" i="10"/>
  <c r="AC11" i="10"/>
  <c r="AC10" i="10"/>
  <c r="AC9" i="10"/>
  <c r="AC8" i="10"/>
  <c r="AC20" i="10"/>
  <c r="AC17" i="10"/>
  <c r="AC16" i="10"/>
  <c r="AC15" i="10"/>
  <c r="AC14" i="10"/>
  <c r="AC13" i="10"/>
  <c r="AC19" i="10"/>
  <c r="AC18" i="10"/>
  <c r="AD2" i="10"/>
  <c r="AC6" i="10"/>
  <c r="AC5" i="10"/>
  <c r="AC4" i="10"/>
  <c r="AC17" i="1"/>
  <c r="AC16" i="1"/>
  <c r="AC15" i="1"/>
  <c r="AC20" i="1"/>
  <c r="AC10" i="1"/>
  <c r="AC9" i="1"/>
  <c r="AC8" i="1"/>
  <c r="AD2" i="1"/>
  <c r="AC23" i="1"/>
  <c r="AC21" i="1"/>
  <c r="AC14" i="1"/>
  <c r="AC19" i="1"/>
  <c r="AC22" i="1"/>
  <c r="AC11" i="1"/>
  <c r="AC18" i="1"/>
  <c r="AC13" i="1"/>
  <c r="AC7" i="1"/>
  <c r="AC6" i="1"/>
  <c r="AC4" i="1"/>
  <c r="AC5" i="1"/>
  <c r="AC12" i="1"/>
  <c r="AD13" i="9" l="1"/>
  <c r="AD12" i="9"/>
  <c r="AD11" i="9"/>
  <c r="AD10" i="9"/>
  <c r="AD19" i="9"/>
  <c r="AD16" i="9"/>
  <c r="AD14" i="9"/>
  <c r="AD8" i="9"/>
  <c r="AD22" i="9"/>
  <c r="AD5" i="9"/>
  <c r="AD23" i="9"/>
  <c r="AD6" i="9"/>
  <c r="AD21" i="9"/>
  <c r="AD25" i="9"/>
  <c r="AD26" i="9"/>
  <c r="AE2" i="9"/>
  <c r="AD20" i="9"/>
  <c r="AD24" i="9"/>
  <c r="AD15" i="9"/>
  <c r="AD7" i="9"/>
  <c r="AD17" i="9"/>
  <c r="AD27" i="9"/>
  <c r="AD4" i="9"/>
  <c r="AD18" i="9"/>
  <c r="AD9" i="9"/>
  <c r="AD22" i="10"/>
  <c r="AD23" i="10"/>
  <c r="AD21" i="10"/>
  <c r="AD12" i="10"/>
  <c r="AD11" i="10"/>
  <c r="AD10" i="10"/>
  <c r="AD9" i="10"/>
  <c r="AD8" i="10"/>
  <c r="AD20" i="10"/>
  <c r="AD17" i="10"/>
  <c r="AD16" i="10"/>
  <c r="AD15" i="10"/>
  <c r="AD14" i="10"/>
  <c r="AD13" i="10"/>
  <c r="AD19" i="10"/>
  <c r="AD18" i="10"/>
  <c r="AD7" i="10"/>
  <c r="AD6" i="10"/>
  <c r="AD5" i="10"/>
  <c r="AD4" i="10"/>
  <c r="AE2" i="10"/>
  <c r="AD16" i="1"/>
  <c r="AD15" i="1"/>
  <c r="AD22" i="1"/>
  <c r="AD19" i="1"/>
  <c r="AD23" i="1"/>
  <c r="AD21" i="1"/>
  <c r="AD14" i="1"/>
  <c r="AD8" i="1"/>
  <c r="AE2" i="1"/>
  <c r="AD13" i="1"/>
  <c r="AD12" i="1"/>
  <c r="AD9" i="1"/>
  <c r="AD6" i="1"/>
  <c r="AD5" i="1"/>
  <c r="AD4" i="1"/>
  <c r="AD11" i="1"/>
  <c r="AD18" i="1"/>
  <c r="AD20" i="1"/>
  <c r="AD7" i="1"/>
  <c r="AD10" i="1"/>
  <c r="AD17" i="1"/>
  <c r="AE13" i="9" l="1"/>
  <c r="AE12" i="9"/>
  <c r="AE11" i="9"/>
  <c r="AE10" i="9"/>
  <c r="AE9" i="9"/>
  <c r="AE26" i="9"/>
  <c r="AE27" i="9"/>
  <c r="AE21" i="9"/>
  <c r="AF2" i="9"/>
  <c r="AE25" i="9"/>
  <c r="AE6" i="9"/>
  <c r="AE8" i="9"/>
  <c r="AE24" i="9"/>
  <c r="AE23" i="9"/>
  <c r="AE22" i="9"/>
  <c r="AE7" i="9"/>
  <c r="AE18" i="9"/>
  <c r="AE16" i="9"/>
  <c r="AE15" i="9"/>
  <c r="AE20" i="9"/>
  <c r="AE5" i="9"/>
  <c r="AE19" i="9"/>
  <c r="AE4" i="9"/>
  <c r="AE14" i="9"/>
  <c r="AE17" i="9"/>
  <c r="AE22" i="10"/>
  <c r="AE23" i="10"/>
  <c r="AE21" i="10"/>
  <c r="AE20" i="10"/>
  <c r="AE17" i="10"/>
  <c r="AE16" i="10"/>
  <c r="AE15" i="10"/>
  <c r="AE14" i="10"/>
  <c r="AE13" i="10"/>
  <c r="AE19" i="10"/>
  <c r="AE18" i="10"/>
  <c r="AF2" i="10"/>
  <c r="AE6" i="10"/>
  <c r="AE5" i="10"/>
  <c r="AE4" i="10"/>
  <c r="AE11" i="10"/>
  <c r="AE12" i="10"/>
  <c r="AE10" i="10"/>
  <c r="AE9" i="10"/>
  <c r="AE8" i="10"/>
  <c r="AE7" i="10"/>
  <c r="AE15" i="1"/>
  <c r="AE22" i="1"/>
  <c r="AE14" i="1"/>
  <c r="AE12" i="1"/>
  <c r="AE23" i="1"/>
  <c r="AE21" i="1"/>
  <c r="AE18" i="1"/>
  <c r="AE19" i="1"/>
  <c r="AE13" i="1"/>
  <c r="AE9" i="1"/>
  <c r="AE6" i="1"/>
  <c r="AE17" i="1"/>
  <c r="AE20" i="1"/>
  <c r="AE7" i="1"/>
  <c r="AE10" i="1"/>
  <c r="AE16" i="1"/>
  <c r="AE8" i="1"/>
  <c r="AF2" i="1"/>
  <c r="AE5" i="1"/>
  <c r="AE4" i="1"/>
  <c r="AE11" i="1"/>
  <c r="AF13" i="9" l="1"/>
  <c r="AF12" i="9"/>
  <c r="AF11" i="9"/>
  <c r="AF10" i="9"/>
  <c r="AF18" i="9"/>
  <c r="AF27" i="9"/>
  <c r="AF5" i="9"/>
  <c r="AF9" i="9"/>
  <c r="AF19" i="9"/>
  <c r="AF22" i="9"/>
  <c r="AF15" i="9"/>
  <c r="AF17" i="9"/>
  <c r="AF16" i="9"/>
  <c r="AF23" i="9"/>
  <c r="AF8" i="9"/>
  <c r="AE1" i="9"/>
  <c r="AF6" i="9"/>
  <c r="AF24" i="9"/>
  <c r="AG2" i="9"/>
  <c r="AF25" i="9"/>
  <c r="AF20" i="9"/>
  <c r="AF14" i="9"/>
  <c r="AF4" i="9"/>
  <c r="AF26" i="9"/>
  <c r="AF7" i="9"/>
  <c r="AF21" i="9"/>
  <c r="AF22" i="10"/>
  <c r="AF23" i="10"/>
  <c r="AF21" i="10"/>
  <c r="AF20" i="10"/>
  <c r="AF17" i="10"/>
  <c r="AF16" i="10"/>
  <c r="AF15" i="10"/>
  <c r="AF14" i="10"/>
  <c r="AF13" i="10"/>
  <c r="AF19" i="10"/>
  <c r="AF18" i="10"/>
  <c r="AF6" i="10"/>
  <c r="AF5" i="10"/>
  <c r="AF4" i="10"/>
  <c r="AE1" i="10"/>
  <c r="AF11" i="10"/>
  <c r="AF12" i="10"/>
  <c r="AF8" i="10"/>
  <c r="AF10" i="10"/>
  <c r="AF7" i="10"/>
  <c r="AF9" i="10"/>
  <c r="AG2" i="10"/>
  <c r="AF22" i="1"/>
  <c r="AF14" i="1"/>
  <c r="AF12" i="1"/>
  <c r="AF23" i="1"/>
  <c r="AF21" i="1"/>
  <c r="AF13" i="1"/>
  <c r="AF11" i="1"/>
  <c r="AF7" i="1"/>
  <c r="AF20" i="1"/>
  <c r="AF17" i="1"/>
  <c r="AF19" i="1"/>
  <c r="AF9" i="1"/>
  <c r="AF6" i="1"/>
  <c r="AF5" i="1"/>
  <c r="AF4" i="1"/>
  <c r="AF10" i="1"/>
  <c r="AF18" i="1"/>
  <c r="AE1" i="1"/>
  <c r="AF16" i="1"/>
  <c r="AG2" i="1"/>
  <c r="AF8" i="1"/>
  <c r="AF15" i="1"/>
  <c r="AG13" i="9" l="1"/>
  <c r="AG12" i="9"/>
  <c r="AG11" i="9"/>
  <c r="AG10" i="9"/>
  <c r="AG18" i="9"/>
  <c r="AG6" i="9"/>
  <c r="AG17" i="9"/>
  <c r="AG27" i="9"/>
  <c r="AG4" i="9"/>
  <c r="AG23" i="9"/>
  <c r="AG9" i="9"/>
  <c r="AH2" i="9"/>
  <c r="AG8" i="9"/>
  <c r="AG7" i="9"/>
  <c r="AG24" i="9"/>
  <c r="AG16" i="9"/>
  <c r="AG20" i="9"/>
  <c r="AG21" i="9"/>
  <c r="AG14" i="9"/>
  <c r="AG22" i="9"/>
  <c r="AG15" i="9"/>
  <c r="AG25" i="9"/>
  <c r="AG26" i="9"/>
  <c r="AG5" i="9"/>
  <c r="AG19" i="9"/>
  <c r="AG23" i="10"/>
  <c r="AG21" i="10"/>
  <c r="AG20" i="10"/>
  <c r="AG17" i="10"/>
  <c r="AG19" i="10"/>
  <c r="AG18" i="10"/>
  <c r="AG14" i="10"/>
  <c r="AG6" i="10"/>
  <c r="AG5" i="10"/>
  <c r="AG4" i="10"/>
  <c r="AG16" i="10"/>
  <c r="AG11" i="10"/>
  <c r="AH2" i="10"/>
  <c r="AG10" i="10"/>
  <c r="AG9" i="10"/>
  <c r="AG7" i="10"/>
  <c r="AG22" i="10"/>
  <c r="AG15" i="10"/>
  <c r="AG13" i="10"/>
  <c r="AG12" i="10"/>
  <c r="AG8" i="10"/>
  <c r="AG23" i="1"/>
  <c r="AG21" i="1"/>
  <c r="AG13" i="1"/>
  <c r="AG11" i="1"/>
  <c r="AG20" i="1"/>
  <c r="AG10" i="1"/>
  <c r="AG9" i="1"/>
  <c r="AG8" i="1"/>
  <c r="AG19" i="1"/>
  <c r="AG16" i="1"/>
  <c r="AG17" i="1"/>
  <c r="AG12" i="1"/>
  <c r="AG15" i="1"/>
  <c r="AG18" i="1"/>
  <c r="AH2" i="1"/>
  <c r="AG14" i="1"/>
  <c r="AG6" i="1"/>
  <c r="AG5" i="1"/>
  <c r="AG4" i="1"/>
  <c r="AG22" i="1"/>
  <c r="AG7" i="1"/>
  <c r="AH11" i="9" l="1"/>
  <c r="AH13" i="9"/>
  <c r="AH12" i="9"/>
  <c r="AH10" i="9"/>
  <c r="AH16" i="9"/>
  <c r="AH14" i="9"/>
  <c r="AH6" i="9"/>
  <c r="AH27" i="9"/>
  <c r="AH7" i="9"/>
  <c r="AI2" i="9"/>
  <c r="AH8" i="9"/>
  <c r="AH19" i="9"/>
  <c r="AH26" i="9"/>
  <c r="AH17" i="9"/>
  <c r="AH20" i="9"/>
  <c r="AH18" i="9"/>
  <c r="AH22" i="9"/>
  <c r="AH5" i="9"/>
  <c r="AH23" i="9"/>
  <c r="AH24" i="9"/>
  <c r="AH9" i="9"/>
  <c r="AH21" i="9"/>
  <c r="AH25" i="9"/>
  <c r="AH4" i="9"/>
  <c r="AH15" i="9"/>
  <c r="AH20" i="10"/>
  <c r="AH17" i="10"/>
  <c r="AH16" i="10"/>
  <c r="AH15" i="10"/>
  <c r="AH14" i="10"/>
  <c r="AH19" i="10"/>
  <c r="AH18" i="10"/>
  <c r="AH22" i="10"/>
  <c r="AH23" i="10"/>
  <c r="AH11" i="10"/>
  <c r="AH21" i="10"/>
  <c r="AH10" i="10"/>
  <c r="AH9" i="10"/>
  <c r="AH13" i="10"/>
  <c r="AH12" i="10"/>
  <c r="AH8" i="10"/>
  <c r="AH7" i="10"/>
  <c r="AI2" i="10"/>
  <c r="AH4" i="10"/>
  <c r="AH5" i="10"/>
  <c r="AH6" i="10"/>
  <c r="AH20" i="1"/>
  <c r="AH10" i="1"/>
  <c r="AH19" i="1"/>
  <c r="AH18" i="1"/>
  <c r="AH15" i="1"/>
  <c r="AH17" i="1"/>
  <c r="AH13" i="1"/>
  <c r="AH12" i="1"/>
  <c r="AH22" i="1"/>
  <c r="AH11" i="1"/>
  <c r="AH7" i="1"/>
  <c r="AI2" i="1"/>
  <c r="AH16" i="1"/>
  <c r="AH8" i="1"/>
  <c r="AH23" i="1"/>
  <c r="AH21" i="1"/>
  <c r="AH9" i="1"/>
  <c r="AH14" i="1"/>
  <c r="AH6" i="1"/>
  <c r="AH4" i="1"/>
  <c r="AH5" i="1"/>
  <c r="AI13" i="9" l="1"/>
  <c r="AI12" i="9"/>
  <c r="AI11" i="9"/>
  <c r="AI10" i="9"/>
  <c r="AI22" i="9"/>
  <c r="AI4" i="9"/>
  <c r="AI5" i="9"/>
  <c r="AI27" i="9"/>
  <c r="AI20" i="9"/>
  <c r="AI6" i="9"/>
  <c r="AI18" i="9"/>
  <c r="AI16" i="9"/>
  <c r="AJ2" i="9"/>
  <c r="AI26" i="9"/>
  <c r="AI24" i="9"/>
  <c r="AI19" i="9"/>
  <c r="AI14" i="9"/>
  <c r="AI9" i="9"/>
  <c r="AI7" i="9"/>
  <c r="AI25" i="9"/>
  <c r="AI17" i="9"/>
  <c r="AI21" i="9"/>
  <c r="AI15" i="9"/>
  <c r="AI23" i="9"/>
  <c r="AI8" i="9"/>
  <c r="AI19" i="10"/>
  <c r="AI18" i="10"/>
  <c r="AI22" i="10"/>
  <c r="AI7" i="10"/>
  <c r="AI23" i="10"/>
  <c r="AI21" i="10"/>
  <c r="AI12" i="10"/>
  <c r="AI20" i="10"/>
  <c r="AI17" i="10"/>
  <c r="AI11" i="10"/>
  <c r="AI16" i="10"/>
  <c r="AI10" i="10"/>
  <c r="AI9" i="10"/>
  <c r="AI5" i="10"/>
  <c r="AI14" i="10"/>
  <c r="AI13" i="10"/>
  <c r="AI8" i="10"/>
  <c r="AI15" i="10"/>
  <c r="AJ2" i="10"/>
  <c r="AI4" i="10"/>
  <c r="AI6" i="10"/>
  <c r="AI19" i="1"/>
  <c r="AI18" i="1"/>
  <c r="AI17" i="1"/>
  <c r="AI22" i="1"/>
  <c r="AI14" i="1"/>
  <c r="AI12" i="1"/>
  <c r="AI15" i="1"/>
  <c r="AI11" i="1"/>
  <c r="AI7" i="1"/>
  <c r="AI16" i="1"/>
  <c r="AI8" i="1"/>
  <c r="AI6" i="1"/>
  <c r="AI5" i="1"/>
  <c r="AI4" i="1"/>
  <c r="AI23" i="1"/>
  <c r="AI21" i="1"/>
  <c r="AI13" i="1"/>
  <c r="AI20" i="1"/>
  <c r="AI9" i="1"/>
  <c r="AJ2" i="1"/>
  <c r="AI10" i="1"/>
  <c r="AJ12" i="9" l="1"/>
  <c r="AJ13" i="9"/>
  <c r="AJ11" i="9"/>
  <c r="AJ10" i="9"/>
  <c r="AJ20" i="9"/>
  <c r="AJ22" i="9"/>
  <c r="AJ16" i="9"/>
  <c r="AJ19" i="9"/>
  <c r="AJ17" i="9"/>
  <c r="AJ23" i="9"/>
  <c r="AJ14" i="9"/>
  <c r="AJ26" i="9"/>
  <c r="AJ15" i="9"/>
  <c r="AJ6" i="9"/>
  <c r="AJ27" i="9"/>
  <c r="AJ8" i="9"/>
  <c r="AJ7" i="9"/>
  <c r="AJ25" i="9"/>
  <c r="AK2" i="9"/>
  <c r="AJ9" i="9"/>
  <c r="AJ24" i="9"/>
  <c r="AJ5" i="9"/>
  <c r="AJ18" i="9"/>
  <c r="AJ21" i="9"/>
  <c r="AJ4" i="9"/>
  <c r="AI1" i="9"/>
  <c r="AJ22" i="10"/>
  <c r="AJ7" i="10"/>
  <c r="AJ23" i="10"/>
  <c r="AJ21" i="10"/>
  <c r="AJ12" i="10"/>
  <c r="AJ11" i="10"/>
  <c r="AJ10" i="10"/>
  <c r="AJ9" i="10"/>
  <c r="AJ8" i="10"/>
  <c r="AJ20" i="10"/>
  <c r="AJ17" i="10"/>
  <c r="AJ16" i="10"/>
  <c r="AJ15" i="10"/>
  <c r="AJ14" i="10"/>
  <c r="AJ13" i="10"/>
  <c r="AJ18" i="10"/>
  <c r="AK2" i="10"/>
  <c r="AJ19" i="10"/>
  <c r="AJ5" i="10"/>
  <c r="AJ6" i="10"/>
  <c r="AJ4" i="10"/>
  <c r="AI1" i="10"/>
  <c r="AJ18" i="1"/>
  <c r="AJ17" i="1"/>
  <c r="AJ16" i="1"/>
  <c r="AJ23" i="1"/>
  <c r="AJ21" i="1"/>
  <c r="AJ13" i="1"/>
  <c r="AJ11" i="1"/>
  <c r="AJ7" i="1"/>
  <c r="AJ15" i="1"/>
  <c r="AI1" i="1"/>
  <c r="AJ22" i="1"/>
  <c r="AJ20" i="1"/>
  <c r="AJ10" i="1"/>
  <c r="AK2" i="1"/>
  <c r="AJ6" i="1"/>
  <c r="AJ5" i="1"/>
  <c r="AJ4" i="1"/>
  <c r="AJ14" i="1"/>
  <c r="AJ9" i="1"/>
  <c r="AJ19" i="1"/>
  <c r="AJ12" i="1"/>
  <c r="AJ8" i="1"/>
  <c r="AK13" i="9" l="1"/>
  <c r="AK12" i="9"/>
  <c r="AK11" i="9"/>
  <c r="AK10" i="9"/>
  <c r="AK19" i="9"/>
  <c r="AK9" i="9"/>
  <c r="AL2" i="9"/>
  <c r="AK21" i="9"/>
  <c r="AK18" i="9"/>
  <c r="AK20" i="9"/>
  <c r="AK25" i="9"/>
  <c r="AK5" i="9"/>
  <c r="AK8" i="9"/>
  <c r="AK27" i="9"/>
  <c r="AK15" i="9"/>
  <c r="AK16" i="9"/>
  <c r="AK14" i="9"/>
  <c r="AK23" i="9"/>
  <c r="AK4" i="9"/>
  <c r="AK6" i="9"/>
  <c r="AK7" i="9"/>
  <c r="AK24" i="9"/>
  <c r="AK26" i="9"/>
  <c r="AK17" i="9"/>
  <c r="AK22" i="9"/>
  <c r="AK22" i="10"/>
  <c r="AK7" i="10"/>
  <c r="AK23" i="10"/>
  <c r="AK21" i="10"/>
  <c r="AK12" i="10"/>
  <c r="AK11" i="10"/>
  <c r="AK10" i="10"/>
  <c r="AK9" i="10"/>
  <c r="AK8" i="10"/>
  <c r="AK20" i="10"/>
  <c r="AK17" i="10"/>
  <c r="AK16" i="10"/>
  <c r="AK15" i="10"/>
  <c r="AK14" i="10"/>
  <c r="AK13" i="10"/>
  <c r="AK19" i="10"/>
  <c r="AK18" i="10"/>
  <c r="AL2" i="10"/>
  <c r="AK6" i="10"/>
  <c r="AK5" i="10"/>
  <c r="AK4" i="10"/>
  <c r="AK17" i="1"/>
  <c r="AK16" i="1"/>
  <c r="AK15" i="1"/>
  <c r="AK20" i="1"/>
  <c r="AK10" i="1"/>
  <c r="AK9" i="1"/>
  <c r="AK8" i="1"/>
  <c r="AK22" i="1"/>
  <c r="AK11" i="1"/>
  <c r="AK7" i="1"/>
  <c r="AK14" i="1"/>
  <c r="AK23" i="1"/>
  <c r="AK21" i="1"/>
  <c r="AK19" i="1"/>
  <c r="AL2" i="1"/>
  <c r="AK18" i="1"/>
  <c r="AK6" i="1"/>
  <c r="AK5" i="1"/>
  <c r="AK13" i="1"/>
  <c r="AK12" i="1"/>
  <c r="AK4" i="1"/>
  <c r="AL13" i="9" l="1"/>
  <c r="AL12" i="9"/>
  <c r="AL11" i="9"/>
  <c r="AL10" i="9"/>
  <c r="AL8" i="9"/>
  <c r="AL6" i="9"/>
  <c r="AL26" i="9"/>
  <c r="AL21" i="9"/>
  <c r="AL16" i="9"/>
  <c r="AL24" i="9"/>
  <c r="AL14" i="9"/>
  <c r="AM2" i="9"/>
  <c r="AL18" i="9"/>
  <c r="AL9" i="9"/>
  <c r="AL15" i="9"/>
  <c r="AL4" i="9"/>
  <c r="AL27" i="9"/>
  <c r="AL19" i="9"/>
  <c r="AL7" i="9"/>
  <c r="AL17" i="9"/>
  <c r="AL23" i="9"/>
  <c r="AL22" i="9"/>
  <c r="AL25" i="9"/>
  <c r="AL5" i="9"/>
  <c r="AL20" i="9"/>
  <c r="AL22" i="10"/>
  <c r="AL23" i="10"/>
  <c r="AL21" i="10"/>
  <c r="AL12" i="10"/>
  <c r="AL11" i="10"/>
  <c r="AL10" i="10"/>
  <c r="AL9" i="10"/>
  <c r="AL8" i="10"/>
  <c r="AL20" i="10"/>
  <c r="AL17" i="10"/>
  <c r="AL16" i="10"/>
  <c r="AL15" i="10"/>
  <c r="AL14" i="10"/>
  <c r="AL13" i="10"/>
  <c r="AL19" i="10"/>
  <c r="AL18" i="10"/>
  <c r="AM2" i="10"/>
  <c r="AL7" i="10"/>
  <c r="AL6" i="10"/>
  <c r="AL5" i="10"/>
  <c r="AL4" i="10"/>
  <c r="AL16" i="1"/>
  <c r="AL15" i="1"/>
  <c r="AL22" i="1"/>
  <c r="AL14" i="1"/>
  <c r="AL19" i="1"/>
  <c r="AM2" i="1"/>
  <c r="AL20" i="1"/>
  <c r="AL10" i="1"/>
  <c r="AL18" i="1"/>
  <c r="AL8" i="1"/>
  <c r="AL6" i="1"/>
  <c r="AL5" i="1"/>
  <c r="AL4" i="1"/>
  <c r="AL23" i="1"/>
  <c r="AL21" i="1"/>
  <c r="AL9" i="1"/>
  <c r="AL13" i="1"/>
  <c r="AL12" i="1"/>
  <c r="AL17" i="1"/>
  <c r="AL11" i="1"/>
  <c r="AL7" i="1"/>
  <c r="AM13" i="9" l="1"/>
  <c r="AM12" i="9"/>
  <c r="AM11" i="9"/>
  <c r="AM10" i="9"/>
  <c r="AM8" i="9"/>
  <c r="AM19" i="9"/>
  <c r="AM23" i="9"/>
  <c r="AM27" i="9"/>
  <c r="AM18" i="9"/>
  <c r="AM9" i="9"/>
  <c r="AM21" i="9"/>
  <c r="AM22" i="9"/>
  <c r="AM26" i="9"/>
  <c r="AM14" i="9"/>
  <c r="AM17" i="9"/>
  <c r="AM4" i="9"/>
  <c r="AM25" i="9"/>
  <c r="AM20" i="9"/>
  <c r="AM5" i="9"/>
  <c r="AM16" i="9"/>
  <c r="AM6" i="9"/>
  <c r="AN2" i="9"/>
  <c r="AM15" i="9"/>
  <c r="AM24" i="9"/>
  <c r="AM7" i="9"/>
  <c r="AM22" i="10"/>
  <c r="AM23" i="10"/>
  <c r="AM21" i="10"/>
  <c r="AM20" i="10"/>
  <c r="AM17" i="10"/>
  <c r="AM16" i="10"/>
  <c r="AM15" i="10"/>
  <c r="AM14" i="10"/>
  <c r="AM13" i="10"/>
  <c r="AM19" i="10"/>
  <c r="AM18" i="10"/>
  <c r="AM10" i="10"/>
  <c r="AN2" i="10"/>
  <c r="AM9" i="10"/>
  <c r="AM8" i="10"/>
  <c r="AM7" i="10"/>
  <c r="AM6" i="10"/>
  <c r="AM5" i="10"/>
  <c r="AM4" i="10"/>
  <c r="AM12" i="10"/>
  <c r="AM11" i="10"/>
  <c r="AM15" i="1"/>
  <c r="AM22" i="1"/>
  <c r="AM14" i="1"/>
  <c r="AM12" i="1"/>
  <c r="AM23" i="1"/>
  <c r="AM21" i="1"/>
  <c r="AM18" i="1"/>
  <c r="AM20" i="1"/>
  <c r="AM10" i="1"/>
  <c r="AM8" i="1"/>
  <c r="AM6" i="1"/>
  <c r="AM5" i="1"/>
  <c r="AM4" i="1"/>
  <c r="AM13" i="1"/>
  <c r="AM17" i="1"/>
  <c r="AM19" i="1"/>
  <c r="AN2" i="1"/>
  <c r="AM9" i="1"/>
  <c r="AM7" i="1"/>
  <c r="AM11" i="1"/>
  <c r="AM16" i="1"/>
  <c r="AN13" i="9" l="1"/>
  <c r="AN12" i="9"/>
  <c r="AN11" i="9"/>
  <c r="AN10" i="9"/>
  <c r="AN18" i="9"/>
  <c r="AN17" i="9"/>
  <c r="AN7" i="9"/>
  <c r="AN26" i="9"/>
  <c r="AN23" i="9"/>
  <c r="AN21" i="9"/>
  <c r="AN27" i="9"/>
  <c r="AN16" i="9"/>
  <c r="AN8" i="9"/>
  <c r="AN24" i="9"/>
  <c r="AO2" i="9"/>
  <c r="AN25" i="9"/>
  <c r="AN19" i="9"/>
  <c r="AN22" i="9"/>
  <c r="AN9" i="9"/>
  <c r="AN6" i="9"/>
  <c r="AN4" i="9"/>
  <c r="AN5" i="9"/>
  <c r="AN15" i="9"/>
  <c r="AN20" i="9"/>
  <c r="AN14" i="9"/>
  <c r="AM1" i="9"/>
  <c r="AN22" i="10"/>
  <c r="AN23" i="10"/>
  <c r="AN21" i="10"/>
  <c r="AN20" i="10"/>
  <c r="AN17" i="10"/>
  <c r="AN16" i="10"/>
  <c r="AN15" i="10"/>
  <c r="AN14" i="10"/>
  <c r="AN13" i="10"/>
  <c r="AN19" i="10"/>
  <c r="AN18" i="10"/>
  <c r="AN9" i="10"/>
  <c r="AM1" i="10"/>
  <c r="AN8" i="10"/>
  <c r="AN7" i="10"/>
  <c r="AN6" i="10"/>
  <c r="AN5" i="10"/>
  <c r="AN4" i="10"/>
  <c r="AN12" i="10"/>
  <c r="AN11" i="10"/>
  <c r="AN10" i="10"/>
  <c r="AO2" i="10"/>
  <c r="AN22" i="1"/>
  <c r="AN14" i="1"/>
  <c r="AN12" i="1"/>
  <c r="AN23" i="1"/>
  <c r="AN21" i="1"/>
  <c r="AN13" i="1"/>
  <c r="AN11" i="1"/>
  <c r="AN7" i="1"/>
  <c r="AN20" i="1"/>
  <c r="AN17" i="1"/>
  <c r="AN8" i="1"/>
  <c r="AN6" i="1"/>
  <c r="AN5" i="1"/>
  <c r="AN4" i="1"/>
  <c r="AN18" i="1"/>
  <c r="AN16" i="1"/>
  <c r="AN9" i="1"/>
  <c r="AN19" i="1"/>
  <c r="AN15" i="1"/>
  <c r="AN10" i="1"/>
  <c r="AM1" i="1"/>
  <c r="AO2" i="1"/>
  <c r="AO13" i="9" l="1"/>
  <c r="AO12" i="9"/>
  <c r="AO11" i="9"/>
  <c r="AO10" i="9"/>
  <c r="AO19" i="9"/>
  <c r="AO7" i="9"/>
  <c r="AP2" i="9"/>
  <c r="AO21" i="9"/>
  <c r="AO8" i="9"/>
  <c r="AO17" i="9"/>
  <c r="AO5" i="9"/>
  <c r="AO16" i="9"/>
  <c r="AO6" i="9"/>
  <c r="AO14" i="9"/>
  <c r="AO15" i="9"/>
  <c r="AO24" i="9"/>
  <c r="AO9" i="9"/>
  <c r="AO27" i="9"/>
  <c r="AO25" i="9"/>
  <c r="AO4" i="9"/>
  <c r="AO23" i="9"/>
  <c r="AO26" i="9"/>
  <c r="AO22" i="9"/>
  <c r="AO20" i="9"/>
  <c r="AO18" i="9"/>
  <c r="AO23" i="10"/>
  <c r="AO21" i="10"/>
  <c r="AO20" i="10"/>
  <c r="AO17" i="10"/>
  <c r="AO19" i="10"/>
  <c r="AO18" i="10"/>
  <c r="AO16" i="10"/>
  <c r="AO8" i="10"/>
  <c r="AO7" i="10"/>
  <c r="AO6" i="10"/>
  <c r="AO5" i="10"/>
  <c r="AO4" i="10"/>
  <c r="AO12" i="10"/>
  <c r="AO13" i="10"/>
  <c r="AO15" i="10"/>
  <c r="AO10" i="10"/>
  <c r="AO22" i="10"/>
  <c r="AP2" i="10"/>
  <c r="AO9" i="10"/>
  <c r="AO11" i="10"/>
  <c r="AO14" i="10"/>
  <c r="AO23" i="1"/>
  <c r="AO21" i="1"/>
  <c r="AO13" i="1"/>
  <c r="AO11" i="1"/>
  <c r="AO20" i="1"/>
  <c r="AO10" i="1"/>
  <c r="AO9" i="1"/>
  <c r="AO8" i="1"/>
  <c r="AO19" i="1"/>
  <c r="AO16" i="1"/>
  <c r="AO18" i="1"/>
  <c r="AO12" i="1"/>
  <c r="AO17" i="1"/>
  <c r="AO7" i="1"/>
  <c r="AP2" i="1"/>
  <c r="AO22" i="1"/>
  <c r="AO6" i="1"/>
  <c r="AO5" i="1"/>
  <c r="AO4" i="1"/>
  <c r="AO14" i="1"/>
  <c r="AO15" i="1"/>
  <c r="AP12" i="9" l="1"/>
  <c r="AP13" i="9"/>
  <c r="AP11" i="9"/>
  <c r="AP10" i="9"/>
  <c r="AP21" i="9"/>
  <c r="AP27" i="9"/>
  <c r="AP4" i="9"/>
  <c r="AP15" i="9"/>
  <c r="AP17" i="9"/>
  <c r="AP14" i="9"/>
  <c r="AP19" i="9"/>
  <c r="AP6" i="9"/>
  <c r="AP24" i="9"/>
  <c r="AP20" i="9"/>
  <c r="AP26" i="9"/>
  <c r="AP18" i="9"/>
  <c r="AP22" i="9"/>
  <c r="AP5" i="9"/>
  <c r="AP7" i="9"/>
  <c r="AP16" i="9"/>
  <c r="AP23" i="9"/>
  <c r="AP25" i="9"/>
  <c r="AP9" i="9"/>
  <c r="AP8" i="9"/>
  <c r="AQ2" i="9"/>
  <c r="AP20" i="10"/>
  <c r="AP17" i="10"/>
  <c r="AP16" i="10"/>
  <c r="AP15" i="10"/>
  <c r="AP14" i="10"/>
  <c r="AP19" i="10"/>
  <c r="AP18" i="10"/>
  <c r="AP22" i="10"/>
  <c r="AP23" i="10"/>
  <c r="AP12" i="10"/>
  <c r="AP13" i="10"/>
  <c r="AP21" i="10"/>
  <c r="AP9" i="10"/>
  <c r="AP11" i="10"/>
  <c r="AP10" i="10"/>
  <c r="AQ2" i="10"/>
  <c r="AP4" i="10"/>
  <c r="AP7" i="10"/>
  <c r="AP8" i="10"/>
  <c r="AP5" i="10"/>
  <c r="AP6" i="10"/>
  <c r="AP20" i="1"/>
  <c r="AP10" i="1"/>
  <c r="AP19" i="1"/>
  <c r="AP18" i="1"/>
  <c r="AP15" i="1"/>
  <c r="AP16" i="1"/>
  <c r="AP9" i="1"/>
  <c r="AP14" i="1"/>
  <c r="AP23" i="1"/>
  <c r="AP21" i="1"/>
  <c r="AP17" i="1"/>
  <c r="AP7" i="1"/>
  <c r="AQ2" i="1"/>
  <c r="AP11" i="1"/>
  <c r="AP22" i="1"/>
  <c r="AP8" i="1"/>
  <c r="AP6" i="1"/>
  <c r="AP5" i="1"/>
  <c r="AP12" i="1"/>
  <c r="AP4" i="1"/>
  <c r="AP13" i="1"/>
  <c r="AQ13" i="9" l="1"/>
  <c r="AQ12" i="9"/>
  <c r="AQ11" i="9"/>
  <c r="AQ10" i="9"/>
  <c r="AQ22" i="9"/>
  <c r="AQ6" i="9"/>
  <c r="AQ19" i="9"/>
  <c r="AQ14" i="9"/>
  <c r="AQ18" i="9"/>
  <c r="AQ9" i="9"/>
  <c r="AQ27" i="9"/>
  <c r="AQ24" i="9"/>
  <c r="AQ26" i="9"/>
  <c r="AQ7" i="9"/>
  <c r="AQ20" i="9"/>
  <c r="AQ21" i="9"/>
  <c r="AQ25" i="9"/>
  <c r="AR2" i="9"/>
  <c r="AQ17" i="9"/>
  <c r="AQ5" i="9"/>
  <c r="AQ4" i="9"/>
  <c r="AQ23" i="9"/>
  <c r="AQ8" i="9"/>
  <c r="AQ15" i="9"/>
  <c r="AQ16" i="9"/>
  <c r="AQ19" i="10"/>
  <c r="AQ18" i="10"/>
  <c r="AQ22" i="10"/>
  <c r="AQ7" i="10"/>
  <c r="AQ23" i="10"/>
  <c r="AQ21" i="10"/>
  <c r="AQ12" i="10"/>
  <c r="AQ11" i="10"/>
  <c r="AQ16" i="10"/>
  <c r="AQ13" i="10"/>
  <c r="AQ15" i="10"/>
  <c r="AQ4" i="10"/>
  <c r="AQ10" i="10"/>
  <c r="AR2" i="10"/>
  <c r="AQ5" i="10"/>
  <c r="AQ14" i="10"/>
  <c r="AQ9" i="10"/>
  <c r="AQ20" i="10"/>
  <c r="AQ17" i="10"/>
  <c r="AQ8" i="10"/>
  <c r="AQ6" i="10"/>
  <c r="AQ19" i="1"/>
  <c r="AQ18" i="1"/>
  <c r="AQ17" i="1"/>
  <c r="AQ22" i="1"/>
  <c r="AQ14" i="1"/>
  <c r="AQ12" i="1"/>
  <c r="AQ16" i="1"/>
  <c r="AQ9" i="1"/>
  <c r="AQ23" i="1"/>
  <c r="AQ21" i="1"/>
  <c r="AQ13" i="1"/>
  <c r="AQ11" i="1"/>
  <c r="AQ15" i="1"/>
  <c r="AQ6" i="1"/>
  <c r="AQ5" i="1"/>
  <c r="AQ4" i="1"/>
  <c r="AQ20" i="1"/>
  <c r="AQ8" i="1"/>
  <c r="AQ10" i="1"/>
  <c r="AR2" i="1"/>
  <c r="AQ7" i="1"/>
  <c r="AR13" i="9" l="1"/>
  <c r="AR12" i="9"/>
  <c r="AR11" i="9"/>
  <c r="AR10" i="9"/>
  <c r="AR19" i="9"/>
  <c r="AR5" i="9"/>
  <c r="AR23" i="9"/>
  <c r="AR4" i="9"/>
  <c r="AR16" i="9"/>
  <c r="AR8" i="9"/>
  <c r="AR27" i="9"/>
  <c r="AR22" i="9"/>
  <c r="AR24" i="9"/>
  <c r="AR18" i="9"/>
  <c r="AR26" i="9"/>
  <c r="AQ1" i="9"/>
  <c r="AR7" i="9"/>
  <c r="AS2" i="9"/>
  <c r="AR25" i="9"/>
  <c r="AR9" i="9"/>
  <c r="AR17" i="9"/>
  <c r="AR20" i="9"/>
  <c r="AR21" i="9"/>
  <c r="AR15" i="9"/>
  <c r="AR14" i="9"/>
  <c r="AR6" i="9"/>
  <c r="AR22" i="10"/>
  <c r="AR7" i="10"/>
  <c r="AR23" i="10"/>
  <c r="AR21" i="10"/>
  <c r="AR12" i="10"/>
  <c r="AR11" i="10"/>
  <c r="AR10" i="10"/>
  <c r="AR9" i="10"/>
  <c r="AR8" i="10"/>
  <c r="AR20" i="10"/>
  <c r="AR17" i="10"/>
  <c r="AR16" i="10"/>
  <c r="AR15" i="10"/>
  <c r="AR14" i="10"/>
  <c r="AR13" i="10"/>
  <c r="AR18" i="10"/>
  <c r="AR19" i="10"/>
  <c r="AS2" i="10"/>
  <c r="AR4" i="10"/>
  <c r="AR6" i="10"/>
  <c r="AR5" i="10"/>
  <c r="AQ1" i="10"/>
  <c r="AR18" i="1"/>
  <c r="AR17" i="1"/>
  <c r="AR16" i="1"/>
  <c r="AR23" i="1"/>
  <c r="AR21" i="1"/>
  <c r="AR13" i="1"/>
  <c r="AR11" i="1"/>
  <c r="AR7" i="1"/>
  <c r="AR14" i="1"/>
  <c r="AR12" i="1"/>
  <c r="AS2" i="1"/>
  <c r="AR15" i="1"/>
  <c r="AR6" i="1"/>
  <c r="AR5" i="1"/>
  <c r="AR4" i="1"/>
  <c r="AR22" i="1"/>
  <c r="AR10" i="1"/>
  <c r="AR8" i="1"/>
  <c r="AR20" i="1"/>
  <c r="AR9" i="1"/>
  <c r="AR19" i="1"/>
  <c r="AQ1" i="1"/>
  <c r="AS13" i="9" l="1"/>
  <c r="AS12" i="9"/>
  <c r="AS11" i="9"/>
  <c r="AS10" i="9"/>
  <c r="AS9" i="9"/>
  <c r="AS7" i="9"/>
  <c r="AT2" i="9"/>
  <c r="AS17" i="9"/>
  <c r="AS27" i="9"/>
  <c r="AS8" i="9"/>
  <c r="AS4" i="9"/>
  <c r="AS25" i="9"/>
  <c r="AS19" i="9"/>
  <c r="AS6" i="9"/>
  <c r="AS21" i="9"/>
  <c r="AS24" i="9"/>
  <c r="AS18" i="9"/>
  <c r="AS14" i="9"/>
  <c r="AS23" i="9"/>
  <c r="AS5" i="9"/>
  <c r="AS22" i="9"/>
  <c r="AS20" i="9"/>
  <c r="AS15" i="9"/>
  <c r="AS26" i="9"/>
  <c r="AS16" i="9"/>
  <c r="AS22" i="10"/>
  <c r="AS7" i="10"/>
  <c r="AS23" i="10"/>
  <c r="AS21" i="10"/>
  <c r="AS12" i="10"/>
  <c r="AS11" i="10"/>
  <c r="AS10" i="10"/>
  <c r="AS9" i="10"/>
  <c r="AS8" i="10"/>
  <c r="AS20" i="10"/>
  <c r="AS17" i="10"/>
  <c r="AS16" i="10"/>
  <c r="AS15" i="10"/>
  <c r="AS14" i="10"/>
  <c r="AS13" i="10"/>
  <c r="AS19" i="10"/>
  <c r="AS18" i="10"/>
  <c r="AT2" i="10"/>
  <c r="AS6" i="10"/>
  <c r="AS5" i="10"/>
  <c r="AS4" i="10"/>
  <c r="AS17" i="1"/>
  <c r="AS16" i="1"/>
  <c r="AS15" i="1"/>
  <c r="AS20" i="1"/>
  <c r="AS10" i="1"/>
  <c r="AS9" i="1"/>
  <c r="AS8" i="1"/>
  <c r="AS14" i="1"/>
  <c r="AS23" i="1"/>
  <c r="AS21" i="1"/>
  <c r="AS13" i="1"/>
  <c r="AS12" i="1"/>
  <c r="AT2" i="1"/>
  <c r="AS19" i="1"/>
  <c r="AS7" i="1"/>
  <c r="AS22" i="1"/>
  <c r="AS18" i="1"/>
  <c r="AS5" i="1"/>
  <c r="AS11" i="1"/>
  <c r="AS4" i="1"/>
  <c r="AS6" i="1"/>
  <c r="AT13" i="9" l="1"/>
  <c r="AT12" i="9"/>
  <c r="AT11" i="9"/>
  <c r="AT10" i="9"/>
  <c r="AT22" i="9"/>
  <c r="AT17" i="9"/>
  <c r="AT6" i="9"/>
  <c r="AT19" i="9"/>
  <c r="AT4" i="9"/>
  <c r="AT5" i="9"/>
  <c r="AT15" i="9"/>
  <c r="AT8" i="9"/>
  <c r="AT7" i="9"/>
  <c r="AT25" i="9"/>
  <c r="AT18" i="9"/>
  <c r="AT14" i="9"/>
  <c r="AT21" i="9"/>
  <c r="AT23" i="9"/>
  <c r="AT26" i="9"/>
  <c r="AT20" i="9"/>
  <c r="AT9" i="9"/>
  <c r="AT16" i="9"/>
  <c r="AT24" i="9"/>
  <c r="AT27" i="9"/>
  <c r="AU2" i="9"/>
  <c r="AT22" i="10"/>
  <c r="AT23" i="10"/>
  <c r="AT21" i="10"/>
  <c r="AT12" i="10"/>
  <c r="AT11" i="10"/>
  <c r="AT10" i="10"/>
  <c r="AT9" i="10"/>
  <c r="AT8" i="10"/>
  <c r="AT20" i="10"/>
  <c r="AT17" i="10"/>
  <c r="AT16" i="10"/>
  <c r="AT15" i="10"/>
  <c r="AT14" i="10"/>
  <c r="AT13" i="10"/>
  <c r="AT19" i="10"/>
  <c r="AT18" i="10"/>
  <c r="AU2" i="10"/>
  <c r="AT6" i="10"/>
  <c r="AT5" i="10"/>
  <c r="AT4" i="10"/>
  <c r="AT7" i="10"/>
  <c r="AT16" i="1"/>
  <c r="AT15" i="1"/>
  <c r="AT22" i="1"/>
  <c r="AT14" i="1"/>
  <c r="AT19" i="1"/>
  <c r="AT23" i="1"/>
  <c r="AT21" i="1"/>
  <c r="AT13" i="1"/>
  <c r="AT12" i="1"/>
  <c r="AU2" i="1"/>
  <c r="AT7" i="1"/>
  <c r="AT11" i="1"/>
  <c r="AT6" i="1"/>
  <c r="AT5" i="1"/>
  <c r="AT4" i="1"/>
  <c r="AT10" i="1"/>
  <c r="AT8" i="1"/>
  <c r="AT20" i="1"/>
  <c r="AT18" i="1"/>
  <c r="AT9" i="1"/>
  <c r="AT17" i="1"/>
  <c r="AU13" i="9" l="1"/>
  <c r="AU12" i="9"/>
  <c r="AU11" i="9"/>
  <c r="AU10" i="9"/>
  <c r="AU8" i="9"/>
  <c r="AU24" i="9"/>
  <c r="AU23" i="9"/>
  <c r="AU17" i="9"/>
  <c r="AU27" i="9"/>
  <c r="AU22" i="9"/>
  <c r="AU25" i="9"/>
  <c r="AU19" i="9"/>
  <c r="AU21" i="9"/>
  <c r="AU6" i="9"/>
  <c r="AU9" i="9"/>
  <c r="AU26" i="9"/>
  <c r="AU15" i="9"/>
  <c r="AU7" i="9"/>
  <c r="AU16" i="9"/>
  <c r="AU18" i="9"/>
  <c r="AU20" i="9"/>
  <c r="AU4" i="9"/>
  <c r="AU14" i="9"/>
  <c r="AU5" i="9"/>
  <c r="AV2" i="9"/>
  <c r="AU22" i="10"/>
  <c r="AU23" i="10"/>
  <c r="AU21" i="10"/>
  <c r="AU20" i="10"/>
  <c r="AU17" i="10"/>
  <c r="AU16" i="10"/>
  <c r="AU15" i="10"/>
  <c r="AU14" i="10"/>
  <c r="AU13" i="10"/>
  <c r="AU19" i="10"/>
  <c r="AU18" i="10"/>
  <c r="AV2" i="10"/>
  <c r="AU6" i="10"/>
  <c r="AU5" i="10"/>
  <c r="AU4" i="10"/>
  <c r="AU11" i="10"/>
  <c r="AU10" i="10"/>
  <c r="AU9" i="10"/>
  <c r="AU12" i="10"/>
  <c r="AU8" i="10"/>
  <c r="AU7" i="10"/>
  <c r="AU15" i="1"/>
  <c r="AU22" i="1"/>
  <c r="AU14" i="1"/>
  <c r="AU12" i="1"/>
  <c r="AU23" i="1"/>
  <c r="AU21" i="1"/>
  <c r="AU18" i="1"/>
  <c r="AU7" i="1"/>
  <c r="AU4" i="1"/>
  <c r="AU19" i="1"/>
  <c r="AU11" i="1"/>
  <c r="AU17" i="1"/>
  <c r="AU20" i="1"/>
  <c r="AU9" i="1"/>
  <c r="AU16" i="1"/>
  <c r="AU13" i="1"/>
  <c r="AV2" i="1"/>
  <c r="AU6" i="1"/>
  <c r="AU5" i="1"/>
  <c r="AU10" i="1"/>
  <c r="AU8" i="1"/>
  <c r="AV13" i="9" l="1"/>
  <c r="AV12" i="9"/>
  <c r="AV11" i="9"/>
  <c r="AV10" i="9"/>
  <c r="AV17" i="9"/>
  <c r="AV9" i="9"/>
  <c r="AV27" i="9"/>
  <c r="AV16" i="9"/>
  <c r="AV26" i="9"/>
  <c r="AV23" i="9"/>
  <c r="AV24" i="9"/>
  <c r="AV8" i="9"/>
  <c r="AV5" i="9"/>
  <c r="AV20" i="9"/>
  <c r="AV14" i="9"/>
  <c r="AV15" i="9"/>
  <c r="AV4" i="9"/>
  <c r="AV21" i="9"/>
  <c r="AV25" i="9"/>
  <c r="AU1" i="9"/>
  <c r="AV22" i="9"/>
  <c r="AV18" i="9"/>
  <c r="AW2" i="9"/>
  <c r="AV19" i="9"/>
  <c r="AV7" i="9"/>
  <c r="AV6" i="9"/>
  <c r="AV22" i="10"/>
  <c r="AV23" i="10"/>
  <c r="AV21" i="10"/>
  <c r="AV20" i="10"/>
  <c r="AV17" i="10"/>
  <c r="AV16" i="10"/>
  <c r="AV15" i="10"/>
  <c r="AV14" i="10"/>
  <c r="AV13" i="10"/>
  <c r="AV19" i="10"/>
  <c r="AV18" i="10"/>
  <c r="AV6" i="10"/>
  <c r="AV5" i="10"/>
  <c r="AV4" i="10"/>
  <c r="AV11" i="10"/>
  <c r="AV10" i="10"/>
  <c r="AV9" i="10"/>
  <c r="AV8" i="10"/>
  <c r="AV7" i="10"/>
  <c r="AU1" i="10"/>
  <c r="AV12" i="10"/>
  <c r="AW2" i="10"/>
  <c r="AV22" i="1"/>
  <c r="AV14" i="1"/>
  <c r="AV12" i="1"/>
  <c r="AV23" i="1"/>
  <c r="AV21" i="1"/>
  <c r="AV13" i="1"/>
  <c r="AV11" i="1"/>
  <c r="AV7" i="1"/>
  <c r="AV20" i="1"/>
  <c r="AV17" i="1"/>
  <c r="AV19" i="1"/>
  <c r="AV6" i="1"/>
  <c r="AV5" i="1"/>
  <c r="AV4" i="1"/>
  <c r="AV10" i="1"/>
  <c r="AV8" i="1"/>
  <c r="AV9" i="1"/>
  <c r="AV16" i="1"/>
  <c r="AV18" i="1"/>
  <c r="AU1" i="1"/>
  <c r="AV15" i="1"/>
  <c r="AW2" i="1"/>
  <c r="AW13" i="9" l="1"/>
  <c r="AW12" i="9"/>
  <c r="AW11" i="9"/>
  <c r="AW10" i="9"/>
  <c r="AW24" i="9"/>
  <c r="AW4" i="9"/>
  <c r="AW26" i="9"/>
  <c r="AW14" i="9"/>
  <c r="AW27" i="9"/>
  <c r="AW21" i="9"/>
  <c r="AW6" i="9"/>
  <c r="AW25" i="9"/>
  <c r="AW19" i="9"/>
  <c r="AW5" i="9"/>
  <c r="AW15" i="9"/>
  <c r="AW17" i="9"/>
  <c r="AW23" i="9"/>
  <c r="AW18" i="9"/>
  <c r="AW7" i="9"/>
  <c r="AW22" i="9"/>
  <c r="AW16" i="9"/>
  <c r="AW20" i="9"/>
  <c r="AW8" i="9"/>
  <c r="AW9" i="9"/>
  <c r="AW23" i="10"/>
  <c r="AW21" i="10"/>
  <c r="AW20" i="10"/>
  <c r="AW17" i="10"/>
  <c r="AW19" i="10"/>
  <c r="AW18" i="10"/>
  <c r="AW6" i="10"/>
  <c r="AW5" i="10"/>
  <c r="AW4" i="10"/>
  <c r="AW15" i="10"/>
  <c r="AW11" i="10"/>
  <c r="AW10" i="10"/>
  <c r="AW9" i="10"/>
  <c r="AW22" i="10"/>
  <c r="AW8" i="10"/>
  <c r="AW7" i="10"/>
  <c r="AW14" i="10"/>
  <c r="AW13" i="10"/>
  <c r="AW12" i="10"/>
  <c r="AW16" i="10"/>
  <c r="AW23" i="1"/>
  <c r="AW21" i="1"/>
  <c r="AW13" i="1"/>
  <c r="AW11" i="1"/>
  <c r="AW20" i="1"/>
  <c r="AW10" i="1"/>
  <c r="AW9" i="1"/>
  <c r="AW8" i="1"/>
  <c r="AW19" i="1"/>
  <c r="AW16" i="1"/>
  <c r="AW17" i="1"/>
  <c r="AW15" i="1"/>
  <c r="AW18" i="1"/>
  <c r="AW14" i="1"/>
  <c r="AW12" i="1"/>
  <c r="AW7" i="1"/>
  <c r="AW6" i="1"/>
  <c r="AW5" i="1"/>
  <c r="AW4" i="1"/>
  <c r="AW22" i="1"/>
</calcChain>
</file>

<file path=xl/sharedStrings.xml><?xml version="1.0" encoding="utf-8"?>
<sst xmlns="http://schemas.openxmlformats.org/spreadsheetml/2006/main" count="269" uniqueCount="41">
  <si>
    <t>START</t>
  </si>
  <si>
    <t>END</t>
  </si>
  <si>
    <t>%compl</t>
  </si>
  <si>
    <t>BLOCKED</t>
  </si>
  <si>
    <t>NOT STARTED</t>
  </si>
  <si>
    <t>IN PROGRESS</t>
  </si>
  <si>
    <t>ASSIGNEE</t>
  </si>
  <si>
    <t>TASK</t>
  </si>
  <si>
    <t>DDD</t>
  </si>
  <si>
    <t>EEE</t>
  </si>
  <si>
    <t>FFF</t>
  </si>
  <si>
    <t>W</t>
  </si>
  <si>
    <t>Z</t>
  </si>
  <si>
    <t>B</t>
  </si>
  <si>
    <t>A</t>
  </si>
  <si>
    <t>API</t>
  </si>
  <si>
    <t>DONE</t>
  </si>
  <si>
    <t>Select Status</t>
  </si>
  <si>
    <t>TICKET</t>
  </si>
  <si>
    <t>MySQL update</t>
  </si>
  <si>
    <t>Migrating from Jenkins to GitHub Actions</t>
  </si>
  <si>
    <t>#</t>
  </si>
  <si>
    <t>H</t>
  </si>
  <si>
    <t>T</t>
  </si>
  <si>
    <t>INFRA MIGRAT AND DECOMMS</t>
  </si>
  <si>
    <t>WEBSITE EUG</t>
  </si>
  <si>
    <t>RAG</t>
  </si>
  <si>
    <t>AT RISK</t>
  </si>
  <si>
    <t>MONTH</t>
  </si>
  <si>
    <t>ENDING&gt; FRI&gt;&gt;</t>
  </si>
  <si>
    <t>PROJECT START</t>
  </si>
  <si>
    <t>PROJECT NAME:</t>
  </si>
  <si>
    <t xml:space="preserve"> Days</t>
  </si>
  <si>
    <t>CHAIR</t>
  </si>
  <si>
    <t>SCRUB</t>
  </si>
  <si>
    <t>PAINT</t>
  </si>
  <si>
    <t>UPHOLSTER</t>
  </si>
  <si>
    <t>CP</t>
  </si>
  <si>
    <t>cp</t>
  </si>
  <si>
    <t>%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</si>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</sst>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Wingdings"/>
      <charset val="2"/>
    </font>
    <font>
      <sz val="11"/>
      <color theme="4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Wingdings"/>
      <charset val="2"/>
    </font>
    <font>
      <sz val="8"/>
      <color theme="1"/>
      <name val="Calibri"/>
      <family val="2"/>
      <scheme val="minor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sz val="11"/>
      <color theme="1"/>
      <name val="Wingdings"/>
      <charset val="2"/>
    </font>
    <font>
      <b/>
      <sz val="9"/>
      <color theme="4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5">
    <xf numFmtId="0" fontId="0" fillId="0" borderId="0" xfId="0"/>
    <xf numFmtId="14" fontId="1" fillId="0" borderId="0" xfId="0" applyNumberFormat="1" applyFont="1"/>
    <xf numFmtId="0" fontId="2" fillId="0" borderId="0" xfId="0" applyFont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0" fontId="1" fillId="0" borderId="0" xfId="0" applyFont="1"/>
    <xf numFmtId="14" fontId="5" fillId="0" borderId="0" xfId="0" applyNumberFormat="1" applyFont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0" fillId="3" borderId="0" xfId="0" applyFill="1"/>
    <xf numFmtId="0" fontId="1" fillId="3" borderId="3" xfId="0" applyFont="1" applyFill="1" applyBorder="1"/>
    <xf numFmtId="0" fontId="1" fillId="3" borderId="3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16" fontId="1" fillId="0" borderId="2" xfId="0" applyNumberFormat="1" applyFont="1" applyBorder="1"/>
    <xf numFmtId="0" fontId="0" fillId="0" borderId="0" xfId="0" applyAlignment="1">
      <alignment horizontal="right"/>
    </xf>
    <xf numFmtId="16" fontId="10" fillId="0" borderId="2" xfId="0" applyNumberFormat="1" applyFont="1" applyBorder="1"/>
    <xf numFmtId="0" fontId="11" fillId="0" borderId="2" xfId="0" applyFont="1" applyBorder="1"/>
    <xf numFmtId="0" fontId="11" fillId="3" borderId="0" xfId="0" applyFont="1" applyFill="1"/>
    <xf numFmtId="14" fontId="12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164" fontId="10" fillId="0" borderId="2" xfId="0" applyNumberFormat="1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8" fillId="0" borderId="1" xfId="0" applyNumberFormat="1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9" fontId="7" fillId="0" borderId="1" xfId="1" applyFont="1" applyFill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9" fontId="0" fillId="0" borderId="1" xfId="1" applyFont="1" applyFill="1" applyBorder="1"/>
    <xf numFmtId="14" fontId="18" fillId="0" borderId="0" xfId="0" applyNumberFormat="1" applyFont="1" applyAlignment="1">
      <alignment horizontal="right"/>
    </xf>
    <xf numFmtId="0" fontId="13" fillId="0" borderId="0" xfId="0" applyFont="1" applyAlignment="1">
      <alignment horizontal="center"/>
    </xf>
    <xf numFmtId="0" fontId="19" fillId="3" borderId="3" xfId="0" applyFont="1" applyFill="1" applyBorder="1" applyAlignment="1">
      <alignment horizontal="center"/>
    </xf>
    <xf numFmtId="14" fontId="13" fillId="2" borderId="1" xfId="0" applyNumberFormat="1" applyFont="1" applyFill="1" applyBorder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4" fontId="1" fillId="0" borderId="0" xfId="0" applyNumberFormat="1" applyFont="1" applyAlignment="1">
      <alignment horizontal="center"/>
    </xf>
    <xf numFmtId="9" fontId="0" fillId="0" borderId="1" xfId="1" applyFont="1" applyFill="1" applyBorder="1" applyAlignment="1">
      <alignment horizontal="center"/>
    </xf>
    <xf numFmtId="0" fontId="0" fillId="0" borderId="0" xfId="0" applyAlignment="1">
      <alignment horizontal="left" indent="1"/>
    </xf>
    <xf numFmtId="16" fontId="0" fillId="0" borderId="1" xfId="0" applyNumberFormat="1" applyBorder="1" applyAlignment="1">
      <alignment horizontal="center"/>
    </xf>
    <xf numFmtId="16" fontId="0" fillId="0" borderId="0" xfId="0" applyNumberFormat="1" applyAlignment="1">
      <alignment horizontal="left" indent="1"/>
    </xf>
    <xf numFmtId="16" fontId="9" fillId="0" borderId="0" xfId="0" applyNumberFormat="1" applyFont="1" applyAlignment="1">
      <alignment horizontal="center"/>
    </xf>
    <xf numFmtId="16" fontId="8" fillId="0" borderId="0" xfId="0" applyNumberFormat="1" applyFont="1" applyAlignment="1">
      <alignment horizontal="center"/>
    </xf>
    <xf numFmtId="16" fontId="9" fillId="3" borderId="3" xfId="0" applyNumberFormat="1" applyFont="1" applyFill="1" applyBorder="1" applyAlignment="1">
      <alignment horizontal="center"/>
    </xf>
    <xf numFmtId="16" fontId="8" fillId="0" borderId="1" xfId="0" applyNumberFormat="1" applyFont="1" applyBorder="1" applyAlignment="1">
      <alignment horizontal="center"/>
    </xf>
    <xf numFmtId="0" fontId="16" fillId="0" borderId="0" xfId="0" applyFont="1" applyAlignment="1">
      <alignment horizontal="left" indent="1"/>
    </xf>
    <xf numFmtId="14" fontId="17" fillId="0" borderId="0" xfId="0" applyNumberFormat="1" applyFont="1" applyAlignment="1">
      <alignment horizontal="center"/>
    </xf>
    <xf numFmtId="16" fontId="3" fillId="0" borderId="2" xfId="0" applyNumberFormat="1" applyFont="1" applyBorder="1"/>
    <xf numFmtId="0" fontId="20" fillId="0" borderId="0" xfId="0" applyFont="1"/>
    <xf numFmtId="14" fontId="21" fillId="0" borderId="0" xfId="0" applyNumberFormat="1" applyFont="1"/>
    <xf numFmtId="0" fontId="20" fillId="3" borderId="0" xfId="0" applyFont="1" applyFill="1" applyBorder="1" applyAlignment="1">
      <alignment horizontal="center"/>
    </xf>
    <xf numFmtId="9" fontId="20" fillId="0" borderId="1" xfId="1" applyFont="1" applyFill="1" applyBorder="1" applyAlignment="1">
      <alignment horizontal="center"/>
    </xf>
    <xf numFmtId="0" fontId="20" fillId="0" borderId="0" xfId="0" applyFont="1" applyAlignment="1">
      <alignment horizontal="left" indent="1"/>
    </xf>
  </cellXfs>
  <cellStyles count="2">
    <cellStyle name="Normal" xfId="0" builtinId="0"/>
    <cellStyle name="Percent" xfId="1" builtinId="5"/>
  </cellStyles>
  <dxfs count="33">
    <dxf>
      <font>
        <b val="0"/>
        <i val="0"/>
      </font>
      <fill>
        <patternFill patternType="darkUp">
          <bgColor rgb="FF92D050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 patternType="solid">
          <bgColor theme="8" tint="-0.24994659260841701"/>
        </patternFill>
      </fill>
    </dxf>
    <dxf>
      <font>
        <color theme="5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 tint="4.9989318521683403E-2"/>
        </patternFill>
      </fill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color theme="5"/>
      </font>
      <fill>
        <patternFill>
          <bgColor rgb="FFFF0000"/>
        </patternFill>
      </fill>
    </dxf>
    <dxf>
      <font>
        <b val="0"/>
        <i val="0"/>
      </font>
      <fill>
        <patternFill patternType="darkUp">
          <bgColor rgb="FF92D050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 tint="4.9989318521683403E-2"/>
        </patternFill>
      </fill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color theme="5"/>
      </font>
      <fill>
        <patternFill>
          <bgColor rgb="FFFF0000"/>
        </patternFill>
      </fill>
    </dxf>
    <dxf>
      <font>
        <b val="0"/>
        <i val="0"/>
      </font>
      <fill>
        <patternFill patternType="darkUp">
          <bgColor rgb="FF92D050"/>
        </patternFill>
      </fill>
    </dxf>
    <dxf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1" tint="4.9989318521683403E-2"/>
        </patternFill>
      </fill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AE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0</xdr:row>
          <xdr:rowOff>171450</xdr:rowOff>
        </xdr:from>
        <xdr:to>
          <xdr:col>6</xdr:col>
          <xdr:colOff>19050</xdr:colOff>
          <xdr:row>1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114300</xdr:colOff>
          <xdr:row>0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177800</xdr:rowOff>
        </xdr:from>
        <xdr:to>
          <xdr:col>1</xdr:col>
          <xdr:colOff>101600</xdr:colOff>
          <xdr:row>1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unGRP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0</xdr:row>
          <xdr:rowOff>171450</xdr:rowOff>
        </xdr:from>
        <xdr:to>
          <xdr:col>6</xdr:col>
          <xdr:colOff>19050</xdr:colOff>
          <xdr:row>1</xdr:row>
          <xdr:rowOff>165100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2EB08049-12F3-4060-95CE-8014637F3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114300</xdr:colOff>
          <xdr:row>0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ECDD4154-56E3-4E46-8EC7-33F9C44D7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177800</xdr:rowOff>
        </xdr:from>
        <xdr:to>
          <xdr:col>1</xdr:col>
          <xdr:colOff>101600</xdr:colOff>
          <xdr:row>1</xdr:row>
          <xdr:rowOff>127000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A6E5E1A1-A06C-41C7-8897-B9EFC9BF4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unGRP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0</xdr:row>
          <xdr:rowOff>171450</xdr:rowOff>
        </xdr:from>
        <xdr:to>
          <xdr:col>6</xdr:col>
          <xdr:colOff>282030</xdr:colOff>
          <xdr:row>1</xdr:row>
          <xdr:rowOff>165100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C27D839-4639-485B-BA23-DD919ADC0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114300</xdr:colOff>
          <xdr:row>0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A07C875A-5604-4ABE-863D-33A6A5D82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177800</xdr:rowOff>
        </xdr:from>
        <xdr:to>
          <xdr:col>1</xdr:col>
          <xdr:colOff>101600</xdr:colOff>
          <xdr:row>1</xdr:row>
          <xdr:rowOff>127000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C8EAABFB-5D79-4CEC-862F-3621A2AE1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unGRP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9D74-3CE4-4A4B-AE65-56E8EE91EC0D}">
  <sheetPr codeName="Sheet1"/>
  <dimension ref="A1:AX23"/>
  <sheetViews>
    <sheetView zoomScale="99" zoomScaleNormal="84" workbookViewId="0">
      <pane xSplit="13030" ySplit="1160" topLeftCell="P11" activePane="bottomLeft"/>
      <selection activeCell="H1" sqref="H1:H1048576"/>
      <selection pane="topRight" activeCell="K1" sqref="K1"/>
      <selection pane="bottomLeft" activeCell="A23" sqref="A23"/>
      <selection pane="bottomRight" activeCell="L4" sqref="L4"/>
    </sheetView>
  </sheetViews>
  <sheetFormatPr defaultColWidth="5.6328125" defaultRowHeight="14.5" x14ac:dyDescent="0.35"/>
  <cols>
    <col min="1" max="1" width="4.26953125" bestFit="1" customWidth="1"/>
    <col min="2" max="2" width="17.08984375" customWidth="1"/>
    <col min="3" max="3" width="12.08984375" customWidth="1"/>
    <col min="4" max="4" width="12.7265625" style="6" customWidth="1"/>
    <col min="5" max="5" width="6.6328125" style="6" customWidth="1"/>
    <col min="6" max="6" width="12.7265625" style="8" customWidth="1"/>
    <col min="7" max="7" width="12.7265625" style="9" customWidth="1"/>
    <col min="8" max="8" width="9.81640625" style="43" customWidth="1"/>
    <col min="9" max="9" width="8.54296875" customWidth="1"/>
    <col min="10" max="10" width="5.26953125" customWidth="1"/>
    <col min="11" max="13" width="7.81640625" customWidth="1"/>
    <col min="14" max="50" width="6.81640625" style="25" customWidth="1"/>
  </cols>
  <sheetData>
    <row r="1" spans="1:50" x14ac:dyDescent="0.35">
      <c r="B1" s="19" t="s">
        <v>31</v>
      </c>
      <c r="F1" s="7"/>
      <c r="H1" s="42"/>
      <c r="I1" t="s">
        <v>28</v>
      </c>
      <c r="K1" s="27">
        <f>+K2</f>
        <v>44988</v>
      </c>
      <c r="L1" s="27"/>
      <c r="M1" s="27"/>
      <c r="N1" s="27"/>
      <c r="O1" s="26">
        <f>+P2</f>
        <v>45023</v>
      </c>
      <c r="P1" s="26"/>
      <c r="Q1" s="26"/>
      <c r="R1" s="26"/>
      <c r="S1" s="26">
        <f>+T2</f>
        <v>45051</v>
      </c>
      <c r="T1" s="26"/>
      <c r="U1" s="26"/>
      <c r="V1" s="26"/>
      <c r="W1" s="26">
        <f>+X2</f>
        <v>45079</v>
      </c>
      <c r="X1" s="26"/>
      <c r="Y1" s="26"/>
      <c r="Z1" s="26"/>
      <c r="AA1" s="26">
        <f>+AB2</f>
        <v>45107</v>
      </c>
      <c r="AB1" s="26"/>
      <c r="AC1" s="26"/>
      <c r="AD1" s="26"/>
      <c r="AE1" s="26">
        <f>+AF2</f>
        <v>45135</v>
      </c>
      <c r="AF1" s="26"/>
      <c r="AG1" s="26"/>
      <c r="AH1" s="26"/>
      <c r="AI1" s="26">
        <f>+AJ2</f>
        <v>45163</v>
      </c>
      <c r="AJ1" s="26"/>
      <c r="AK1" s="26"/>
      <c r="AL1" s="26"/>
      <c r="AM1" s="26">
        <f>+AN2</f>
        <v>45191</v>
      </c>
      <c r="AN1" s="26"/>
      <c r="AO1" s="26"/>
      <c r="AP1" s="26"/>
      <c r="AQ1" s="26">
        <f>+AR2</f>
        <v>45219</v>
      </c>
      <c r="AR1" s="26"/>
      <c r="AS1" s="26"/>
      <c r="AT1" s="26"/>
      <c r="AU1" s="26">
        <f>+AV2</f>
        <v>45247</v>
      </c>
      <c r="AV1" s="26"/>
      <c r="AW1" s="26"/>
      <c r="AX1" s="26"/>
    </row>
    <row r="2" spans="1:50" x14ac:dyDescent="0.35">
      <c r="B2" s="19" t="s">
        <v>30</v>
      </c>
      <c r="C2" s="5">
        <v>44995</v>
      </c>
      <c r="G2" s="10"/>
      <c r="I2" s="1" t="s">
        <v>29</v>
      </c>
      <c r="J2" s="1"/>
      <c r="K2" s="18">
        <f>+C2+6-WEEKDAY(C2)-7</f>
        <v>44988</v>
      </c>
      <c r="L2" s="18">
        <f>K2+7</f>
        <v>44995</v>
      </c>
      <c r="M2" s="18">
        <f t="shared" ref="M2:AW2" si="0">L2+7</f>
        <v>45002</v>
      </c>
      <c r="N2" s="20">
        <f t="shared" si="0"/>
        <v>45009</v>
      </c>
      <c r="O2" s="20">
        <f t="shared" si="0"/>
        <v>45016</v>
      </c>
      <c r="P2" s="20">
        <f t="shared" si="0"/>
        <v>45023</v>
      </c>
      <c r="Q2" s="20">
        <f t="shared" si="0"/>
        <v>45030</v>
      </c>
      <c r="R2" s="20">
        <f t="shared" si="0"/>
        <v>45037</v>
      </c>
      <c r="S2" s="20">
        <f t="shared" si="0"/>
        <v>45044</v>
      </c>
      <c r="T2" s="20">
        <f t="shared" si="0"/>
        <v>45051</v>
      </c>
      <c r="U2" s="20">
        <f t="shared" si="0"/>
        <v>45058</v>
      </c>
      <c r="V2" s="20">
        <f t="shared" si="0"/>
        <v>45065</v>
      </c>
      <c r="W2" s="20">
        <f t="shared" si="0"/>
        <v>45072</v>
      </c>
      <c r="X2" s="20">
        <f t="shared" si="0"/>
        <v>45079</v>
      </c>
      <c r="Y2" s="20">
        <f t="shared" si="0"/>
        <v>45086</v>
      </c>
      <c r="Z2" s="20">
        <f t="shared" si="0"/>
        <v>45093</v>
      </c>
      <c r="AA2" s="20">
        <f t="shared" si="0"/>
        <v>45100</v>
      </c>
      <c r="AB2" s="20">
        <f t="shared" si="0"/>
        <v>45107</v>
      </c>
      <c r="AC2" s="20">
        <f t="shared" si="0"/>
        <v>45114</v>
      </c>
      <c r="AD2" s="20">
        <f t="shared" si="0"/>
        <v>45121</v>
      </c>
      <c r="AE2" s="20">
        <f t="shared" si="0"/>
        <v>45128</v>
      </c>
      <c r="AF2" s="20">
        <f t="shared" si="0"/>
        <v>45135</v>
      </c>
      <c r="AG2" s="20">
        <f t="shared" si="0"/>
        <v>45142</v>
      </c>
      <c r="AH2" s="20">
        <f t="shared" si="0"/>
        <v>45149</v>
      </c>
      <c r="AI2" s="20">
        <f t="shared" si="0"/>
        <v>45156</v>
      </c>
      <c r="AJ2" s="20">
        <f t="shared" si="0"/>
        <v>45163</v>
      </c>
      <c r="AK2" s="20">
        <f t="shared" si="0"/>
        <v>45170</v>
      </c>
      <c r="AL2" s="20">
        <f t="shared" si="0"/>
        <v>45177</v>
      </c>
      <c r="AM2" s="20">
        <f t="shared" si="0"/>
        <v>45184</v>
      </c>
      <c r="AN2" s="20">
        <f t="shared" si="0"/>
        <v>45191</v>
      </c>
      <c r="AO2" s="20">
        <f t="shared" si="0"/>
        <v>45198</v>
      </c>
      <c r="AP2" s="20">
        <f t="shared" si="0"/>
        <v>45205</v>
      </c>
      <c r="AQ2" s="20">
        <f t="shared" si="0"/>
        <v>45212</v>
      </c>
      <c r="AR2" s="20">
        <f t="shared" si="0"/>
        <v>45219</v>
      </c>
      <c r="AS2" s="20">
        <f t="shared" si="0"/>
        <v>45226</v>
      </c>
      <c r="AT2" s="20">
        <f t="shared" si="0"/>
        <v>45233</v>
      </c>
      <c r="AU2" s="20">
        <f t="shared" si="0"/>
        <v>45240</v>
      </c>
      <c r="AV2" s="20">
        <f t="shared" si="0"/>
        <v>45247</v>
      </c>
      <c r="AW2" s="20">
        <f t="shared" si="0"/>
        <v>45254</v>
      </c>
      <c r="AX2" s="21"/>
    </row>
    <row r="3" spans="1:50" s="11" customFormat="1" x14ac:dyDescent="0.35">
      <c r="A3" s="11" t="s">
        <v>21</v>
      </c>
      <c r="B3" s="12" t="s">
        <v>7</v>
      </c>
      <c r="C3" s="12" t="s">
        <v>6</v>
      </c>
      <c r="D3" s="13" t="s">
        <v>0</v>
      </c>
      <c r="E3" s="13" t="s">
        <v>32</v>
      </c>
      <c r="F3" s="14" t="s">
        <v>1</v>
      </c>
      <c r="G3" s="15" t="s">
        <v>18</v>
      </c>
      <c r="H3" s="44" t="s">
        <v>26</v>
      </c>
      <c r="I3" s="17" t="s">
        <v>2</v>
      </c>
      <c r="J3" s="28" t="s">
        <v>37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</row>
    <row r="4" spans="1:50" s="4" customFormat="1" x14ac:dyDescent="0.35">
      <c r="A4" s="29" t="s">
        <v>22</v>
      </c>
      <c r="B4" s="29" t="s">
        <v>33</v>
      </c>
      <c r="C4" s="29" t="s">
        <v>14</v>
      </c>
      <c r="D4" s="30">
        <v>44998</v>
      </c>
      <c r="E4" s="31">
        <v>30</v>
      </c>
      <c r="F4" s="32">
        <v>45058</v>
      </c>
      <c r="G4" s="33"/>
      <c r="H4" s="45" t="s">
        <v>4</v>
      </c>
      <c r="I4" s="35">
        <v>0.5</v>
      </c>
      <c r="J4" s="35" t="s">
        <v>37</v>
      </c>
      <c r="K4" s="3" t="str">
        <f t="shared" ref="K4:AW10" si="1">IF(K$2=$F4+7-WEEKDAY($F4,2)-2,"u","")</f>
        <v/>
      </c>
      <c r="L4" s="3" t="str">
        <f t="shared" si="1"/>
        <v/>
      </c>
      <c r="M4" s="3" t="str">
        <f t="shared" si="1"/>
        <v/>
      </c>
      <c r="N4" s="23" t="str">
        <f t="shared" si="1"/>
        <v/>
      </c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23" t="str">
        <f t="shared" si="1"/>
        <v/>
      </c>
      <c r="U4" s="23" t="str">
        <f t="shared" si="1"/>
        <v>u</v>
      </c>
      <c r="V4" s="23" t="str">
        <f t="shared" si="1"/>
        <v/>
      </c>
      <c r="W4" s="23" t="str">
        <f t="shared" si="1"/>
        <v/>
      </c>
      <c r="X4" s="23" t="str">
        <f t="shared" si="1"/>
        <v/>
      </c>
      <c r="Y4" s="23" t="str">
        <f t="shared" si="1"/>
        <v/>
      </c>
      <c r="Z4" s="23" t="str">
        <f t="shared" si="1"/>
        <v/>
      </c>
      <c r="AA4" s="23" t="str">
        <f t="shared" si="1"/>
        <v/>
      </c>
      <c r="AB4" s="23" t="str">
        <f t="shared" si="1"/>
        <v/>
      </c>
      <c r="AC4" s="23" t="str">
        <f t="shared" si="1"/>
        <v/>
      </c>
      <c r="AD4" s="23" t="str">
        <f t="shared" si="1"/>
        <v/>
      </c>
      <c r="AE4" s="23" t="str">
        <f t="shared" si="1"/>
        <v/>
      </c>
      <c r="AF4" s="23" t="str">
        <f t="shared" si="1"/>
        <v/>
      </c>
      <c r="AG4" s="23" t="str">
        <f t="shared" si="1"/>
        <v/>
      </c>
      <c r="AH4" s="23" t="str">
        <f t="shared" si="1"/>
        <v/>
      </c>
      <c r="AI4" s="23" t="str">
        <f t="shared" si="1"/>
        <v/>
      </c>
      <c r="AJ4" s="23" t="str">
        <f t="shared" si="1"/>
        <v/>
      </c>
      <c r="AK4" s="23" t="str">
        <f t="shared" si="1"/>
        <v/>
      </c>
      <c r="AL4" s="23" t="str">
        <f t="shared" si="1"/>
        <v/>
      </c>
      <c r="AM4" s="23" t="str">
        <f t="shared" si="1"/>
        <v/>
      </c>
      <c r="AN4" s="23" t="str">
        <f t="shared" si="1"/>
        <v/>
      </c>
      <c r="AO4" s="23" t="str">
        <f t="shared" si="1"/>
        <v/>
      </c>
      <c r="AP4" s="23" t="str">
        <f t="shared" si="1"/>
        <v/>
      </c>
      <c r="AQ4" s="23" t="str">
        <f t="shared" si="1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4"/>
    </row>
    <row r="5" spans="1:50" x14ac:dyDescent="0.35">
      <c r="A5" s="50" t="s">
        <v>23</v>
      </c>
      <c r="B5" s="29" t="s">
        <v>34</v>
      </c>
      <c r="C5" s="29">
        <v>1</v>
      </c>
      <c r="D5" s="30">
        <v>44998</v>
      </c>
      <c r="E5" s="31">
        <v>10</v>
      </c>
      <c r="F5" s="32">
        <f t="shared" ref="F5:F22" si="2">WORKDAY(D5,E5)</f>
        <v>45012</v>
      </c>
      <c r="G5" s="33"/>
      <c r="H5" s="46" t="s">
        <v>5</v>
      </c>
      <c r="I5" s="35">
        <v>0.5</v>
      </c>
      <c r="J5" s="35" t="s">
        <v>37</v>
      </c>
      <c r="K5" s="3" t="str">
        <f t="shared" si="1"/>
        <v/>
      </c>
      <c r="L5" s="3" t="str">
        <f t="shared" si="1"/>
        <v/>
      </c>
      <c r="M5" s="3" t="str">
        <f t="shared" si="1"/>
        <v/>
      </c>
      <c r="N5" s="23" t="str">
        <f t="shared" si="1"/>
        <v/>
      </c>
      <c r="O5" s="23" t="str">
        <f t="shared" si="1"/>
        <v>u</v>
      </c>
      <c r="P5" s="23" t="str">
        <f t="shared" si="1"/>
        <v/>
      </c>
      <c r="Q5" s="23" t="str">
        <f t="shared" si="1"/>
        <v/>
      </c>
      <c r="R5" s="23" t="str">
        <f t="shared" si="1"/>
        <v/>
      </c>
      <c r="S5" s="23" t="str">
        <f t="shared" si="1"/>
        <v/>
      </c>
      <c r="T5" s="23" t="str">
        <f t="shared" si="1"/>
        <v/>
      </c>
      <c r="U5" s="23" t="str">
        <f t="shared" si="1"/>
        <v/>
      </c>
      <c r="V5" s="23" t="str">
        <f t="shared" si="1"/>
        <v/>
      </c>
      <c r="W5" s="23" t="str">
        <f t="shared" si="1"/>
        <v/>
      </c>
      <c r="X5" s="23" t="str">
        <f t="shared" si="1"/>
        <v/>
      </c>
      <c r="Y5" s="23" t="str">
        <f t="shared" si="1"/>
        <v/>
      </c>
      <c r="Z5" s="23" t="str">
        <f t="shared" si="1"/>
        <v/>
      </c>
      <c r="AA5" s="23" t="str">
        <f t="shared" si="1"/>
        <v/>
      </c>
      <c r="AB5" s="23" t="str">
        <f t="shared" si="1"/>
        <v/>
      </c>
      <c r="AC5" s="23" t="str">
        <f t="shared" si="1"/>
        <v/>
      </c>
      <c r="AD5" s="23" t="str">
        <f t="shared" si="1"/>
        <v/>
      </c>
      <c r="AE5" s="23" t="str">
        <f t="shared" si="1"/>
        <v/>
      </c>
      <c r="AF5" s="23" t="str">
        <f t="shared" si="1"/>
        <v/>
      </c>
      <c r="AG5" s="23" t="str">
        <f t="shared" si="1"/>
        <v/>
      </c>
      <c r="AH5" s="23" t="str">
        <f t="shared" si="1"/>
        <v/>
      </c>
      <c r="AI5" s="23" t="str">
        <f t="shared" si="1"/>
        <v/>
      </c>
      <c r="AJ5" s="23" t="str">
        <f t="shared" si="1"/>
        <v/>
      </c>
      <c r="AK5" s="23" t="str">
        <f t="shared" si="1"/>
        <v/>
      </c>
      <c r="AL5" s="23" t="str">
        <f t="shared" si="1"/>
        <v/>
      </c>
      <c r="AM5" s="23" t="str">
        <f t="shared" si="1"/>
        <v/>
      </c>
      <c r="AN5" s="23" t="str">
        <f t="shared" si="1"/>
        <v/>
      </c>
      <c r="AO5" s="23" t="str">
        <f t="shared" si="1"/>
        <v/>
      </c>
      <c r="AP5" s="23" t="str">
        <f t="shared" si="1"/>
        <v/>
      </c>
      <c r="AQ5" s="23" t="str">
        <f t="shared" si="1"/>
        <v/>
      </c>
      <c r="AR5" s="23" t="str">
        <f t="shared" si="1"/>
        <v/>
      </c>
      <c r="AS5" s="23" t="str">
        <f t="shared" si="1"/>
        <v/>
      </c>
      <c r="AT5" s="23" t="str">
        <f t="shared" si="1"/>
        <v/>
      </c>
      <c r="AU5" s="23" t="str">
        <f t="shared" si="1"/>
        <v/>
      </c>
      <c r="AV5" s="23" t="str">
        <f t="shared" si="1"/>
        <v/>
      </c>
      <c r="AW5" s="23" t="str">
        <f t="shared" si="1"/>
        <v/>
      </c>
    </row>
    <row r="6" spans="1:50" x14ac:dyDescent="0.35">
      <c r="A6" s="50" t="s">
        <v>23</v>
      </c>
      <c r="B6" s="29" t="s">
        <v>35</v>
      </c>
      <c r="C6" s="29">
        <v>2</v>
      </c>
      <c r="D6" s="30">
        <f>+F5</f>
        <v>45012</v>
      </c>
      <c r="E6" s="31">
        <v>10</v>
      </c>
      <c r="F6" s="32">
        <v>45045</v>
      </c>
      <c r="G6" s="33"/>
      <c r="H6" s="46" t="s">
        <v>27</v>
      </c>
      <c r="I6" s="35">
        <v>0.5</v>
      </c>
      <c r="J6" s="35" t="s">
        <v>37</v>
      </c>
      <c r="K6" s="3" t="str">
        <f t="shared" si="1"/>
        <v/>
      </c>
      <c r="L6" s="3" t="str">
        <f t="shared" si="1"/>
        <v/>
      </c>
      <c r="M6" s="3" t="str">
        <f t="shared" si="1"/>
        <v/>
      </c>
      <c r="N6" s="23" t="str">
        <f t="shared" si="1"/>
        <v/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>u</v>
      </c>
      <c r="T6" s="23" t="str">
        <f t="shared" si="1"/>
        <v/>
      </c>
      <c r="U6" s="23" t="str">
        <f t="shared" si="1"/>
        <v/>
      </c>
      <c r="V6" s="23" t="str">
        <f t="shared" si="1"/>
        <v/>
      </c>
      <c r="W6" s="23" t="str">
        <f t="shared" si="1"/>
        <v/>
      </c>
      <c r="X6" s="23" t="str">
        <f t="shared" si="1"/>
        <v/>
      </c>
      <c r="Y6" s="23" t="str">
        <f t="shared" si="1"/>
        <v/>
      </c>
      <c r="Z6" s="23" t="str">
        <f t="shared" si="1"/>
        <v/>
      </c>
      <c r="AA6" s="23" t="str">
        <f t="shared" si="1"/>
        <v/>
      </c>
      <c r="AB6" s="23" t="str">
        <f t="shared" si="1"/>
        <v/>
      </c>
      <c r="AC6" s="23" t="str">
        <f t="shared" si="1"/>
        <v/>
      </c>
      <c r="AD6" s="23" t="str">
        <f t="shared" si="1"/>
        <v/>
      </c>
      <c r="AE6" s="23" t="str">
        <f t="shared" si="1"/>
        <v/>
      </c>
      <c r="AF6" s="23" t="str">
        <f t="shared" si="1"/>
        <v/>
      </c>
      <c r="AG6" s="23" t="str">
        <f t="shared" si="1"/>
        <v/>
      </c>
      <c r="AH6" s="23" t="str">
        <f t="shared" si="1"/>
        <v/>
      </c>
      <c r="AI6" s="23" t="str">
        <f t="shared" si="1"/>
        <v/>
      </c>
      <c r="AJ6" s="23" t="str">
        <f t="shared" si="1"/>
        <v/>
      </c>
      <c r="AK6" s="23" t="str">
        <f t="shared" si="1"/>
        <v/>
      </c>
      <c r="AL6" s="23" t="str">
        <f t="shared" si="1"/>
        <v/>
      </c>
      <c r="AM6" s="23" t="str">
        <f t="shared" si="1"/>
        <v/>
      </c>
      <c r="AN6" s="23" t="str">
        <f t="shared" si="1"/>
        <v/>
      </c>
      <c r="AO6" s="23" t="str">
        <f t="shared" si="1"/>
        <v/>
      </c>
      <c r="AP6" s="23" t="str">
        <f t="shared" si="1"/>
        <v/>
      </c>
      <c r="AQ6" s="23" t="str">
        <f t="shared" si="1"/>
        <v/>
      </c>
      <c r="AR6" s="23" t="str">
        <f t="shared" si="1"/>
        <v/>
      </c>
      <c r="AS6" s="23" t="str">
        <f t="shared" si="1"/>
        <v/>
      </c>
      <c r="AT6" s="23" t="str">
        <f t="shared" si="1"/>
        <v/>
      </c>
      <c r="AU6" s="23" t="str">
        <f t="shared" si="1"/>
        <v/>
      </c>
      <c r="AV6" s="23" t="str">
        <f t="shared" si="1"/>
        <v/>
      </c>
      <c r="AW6" s="23" t="str">
        <f t="shared" si="1"/>
        <v/>
      </c>
    </row>
    <row r="7" spans="1:50" x14ac:dyDescent="0.35">
      <c r="A7" s="50" t="s">
        <v>23</v>
      </c>
      <c r="B7" s="29" t="s">
        <v>36</v>
      </c>
      <c r="C7" s="29">
        <v>3</v>
      </c>
      <c r="D7" s="30">
        <f>+F6</f>
        <v>45045</v>
      </c>
      <c r="E7" s="31">
        <v>10</v>
      </c>
      <c r="F7" s="32">
        <f t="shared" si="2"/>
        <v>45058</v>
      </c>
      <c r="G7" s="33"/>
      <c r="H7" s="46" t="s">
        <v>4</v>
      </c>
      <c r="I7" s="35">
        <v>0.5</v>
      </c>
      <c r="J7" s="35"/>
      <c r="K7" s="3" t="str">
        <f t="shared" si="1"/>
        <v/>
      </c>
      <c r="L7" s="3" t="str">
        <f t="shared" si="1"/>
        <v/>
      </c>
      <c r="M7" s="3" t="str">
        <f t="shared" si="1"/>
        <v/>
      </c>
      <c r="N7" s="23" t="str">
        <f t="shared" si="1"/>
        <v/>
      </c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23" t="str">
        <f t="shared" si="1"/>
        <v/>
      </c>
      <c r="U7" s="23" t="str">
        <f t="shared" si="1"/>
        <v>u</v>
      </c>
      <c r="V7" s="23" t="str">
        <f t="shared" si="1"/>
        <v/>
      </c>
      <c r="W7" s="23" t="str">
        <f t="shared" si="1"/>
        <v/>
      </c>
      <c r="X7" s="23" t="str">
        <f t="shared" si="1"/>
        <v/>
      </c>
      <c r="Y7" s="23" t="str">
        <f t="shared" si="1"/>
        <v/>
      </c>
      <c r="Z7" s="23" t="str">
        <f t="shared" si="1"/>
        <v/>
      </c>
      <c r="AA7" s="23" t="str">
        <f t="shared" si="1"/>
        <v/>
      </c>
      <c r="AB7" s="23" t="str">
        <f t="shared" si="1"/>
        <v/>
      </c>
      <c r="AC7" s="23" t="str">
        <f t="shared" si="1"/>
        <v/>
      </c>
      <c r="AD7" s="23" t="str">
        <f t="shared" si="1"/>
        <v/>
      </c>
      <c r="AE7" s="23" t="str">
        <f t="shared" si="1"/>
        <v/>
      </c>
      <c r="AF7" s="23" t="str">
        <f t="shared" si="1"/>
        <v/>
      </c>
      <c r="AG7" s="23" t="str">
        <f t="shared" si="1"/>
        <v/>
      </c>
      <c r="AH7" s="23" t="str">
        <f t="shared" si="1"/>
        <v/>
      </c>
      <c r="AI7" s="23" t="str">
        <f t="shared" si="1"/>
        <v/>
      </c>
      <c r="AJ7" s="23" t="str">
        <f t="shared" si="1"/>
        <v/>
      </c>
      <c r="AK7" s="23" t="str">
        <f t="shared" si="1"/>
        <v/>
      </c>
      <c r="AL7" s="23" t="str">
        <f t="shared" si="1"/>
        <v/>
      </c>
      <c r="AM7" s="23" t="str">
        <f t="shared" si="1"/>
        <v/>
      </c>
      <c r="AN7" s="23" t="str">
        <f t="shared" si="1"/>
        <v/>
      </c>
      <c r="AO7" s="23" t="str">
        <f t="shared" si="1"/>
        <v/>
      </c>
      <c r="AP7" s="23" t="str">
        <f t="shared" si="1"/>
        <v/>
      </c>
      <c r="AQ7" s="23" t="str">
        <f t="shared" si="1"/>
        <v/>
      </c>
      <c r="AR7" s="23" t="str">
        <f t="shared" si="1"/>
        <v/>
      </c>
      <c r="AS7" s="23" t="str">
        <f t="shared" si="1"/>
        <v/>
      </c>
      <c r="AT7" s="23" t="str">
        <f t="shared" si="1"/>
        <v/>
      </c>
      <c r="AU7" s="23" t="str">
        <f t="shared" si="1"/>
        <v/>
      </c>
      <c r="AV7" s="23" t="str">
        <f t="shared" si="1"/>
        <v/>
      </c>
      <c r="AW7" s="23" t="str">
        <f t="shared" si="1"/>
        <v/>
      </c>
    </row>
    <row r="8" spans="1:50" x14ac:dyDescent="0.35">
      <c r="A8" s="29" t="s">
        <v>22</v>
      </c>
      <c r="B8" s="29" t="s">
        <v>15</v>
      </c>
      <c r="C8" s="29" t="s">
        <v>11</v>
      </c>
      <c r="D8" s="30">
        <v>44998</v>
      </c>
      <c r="E8" s="31">
        <v>26</v>
      </c>
      <c r="F8" s="32">
        <v>45077</v>
      </c>
      <c r="G8" s="33"/>
      <c r="H8" s="46" t="s">
        <v>4</v>
      </c>
      <c r="I8" s="35">
        <v>0</v>
      </c>
      <c r="J8" s="35"/>
      <c r="K8" s="3" t="str">
        <f t="shared" si="1"/>
        <v/>
      </c>
      <c r="L8" s="3" t="str">
        <f t="shared" si="1"/>
        <v/>
      </c>
      <c r="M8" s="3" t="str">
        <f t="shared" si="1"/>
        <v/>
      </c>
      <c r="N8" s="23" t="str">
        <f t="shared" si="1"/>
        <v/>
      </c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23" t="str">
        <f t="shared" si="1"/>
        <v/>
      </c>
      <c r="U8" s="23" t="str">
        <f t="shared" si="1"/>
        <v/>
      </c>
      <c r="V8" s="23" t="str">
        <f t="shared" si="1"/>
        <v/>
      </c>
      <c r="W8" s="23" t="str">
        <f t="shared" si="1"/>
        <v/>
      </c>
      <c r="X8" s="23" t="str">
        <f t="shared" si="1"/>
        <v>u</v>
      </c>
      <c r="Y8" s="23" t="str">
        <f t="shared" si="1"/>
        <v/>
      </c>
      <c r="Z8" s="23" t="str">
        <f t="shared" si="1"/>
        <v/>
      </c>
      <c r="AA8" s="23" t="str">
        <f t="shared" si="1"/>
        <v/>
      </c>
      <c r="AB8" s="23" t="str">
        <f t="shared" si="1"/>
        <v/>
      </c>
      <c r="AC8" s="23" t="str">
        <f t="shared" si="1"/>
        <v/>
      </c>
      <c r="AD8" s="23" t="str">
        <f t="shared" si="1"/>
        <v/>
      </c>
      <c r="AE8" s="23" t="str">
        <f t="shared" si="1"/>
        <v/>
      </c>
      <c r="AF8" s="23" t="str">
        <f t="shared" si="1"/>
        <v/>
      </c>
      <c r="AG8" s="23" t="str">
        <f t="shared" si="1"/>
        <v/>
      </c>
      <c r="AH8" s="23" t="str">
        <f t="shared" si="1"/>
        <v/>
      </c>
      <c r="AI8" s="23" t="str">
        <f t="shared" si="1"/>
        <v/>
      </c>
      <c r="AJ8" s="23" t="str">
        <f t="shared" si="1"/>
        <v/>
      </c>
      <c r="AK8" s="23" t="str">
        <f t="shared" si="1"/>
        <v/>
      </c>
      <c r="AL8" s="23" t="str">
        <f t="shared" si="1"/>
        <v/>
      </c>
      <c r="AM8" s="23" t="str">
        <f t="shared" si="1"/>
        <v/>
      </c>
      <c r="AN8" s="23" t="str">
        <f t="shared" si="1"/>
        <v/>
      </c>
      <c r="AO8" s="23" t="str">
        <f t="shared" si="1"/>
        <v/>
      </c>
      <c r="AP8" s="23" t="str">
        <f t="shared" si="1"/>
        <v/>
      </c>
      <c r="AQ8" s="23" t="str">
        <f t="shared" si="1"/>
        <v/>
      </c>
      <c r="AR8" s="23" t="str">
        <f t="shared" si="1"/>
        <v/>
      </c>
      <c r="AS8" s="23" t="str">
        <f t="shared" si="1"/>
        <v/>
      </c>
      <c r="AT8" s="23" t="str">
        <f t="shared" si="1"/>
        <v/>
      </c>
      <c r="AU8" s="23" t="str">
        <f t="shared" si="1"/>
        <v/>
      </c>
      <c r="AV8" s="23" t="str">
        <f t="shared" si="1"/>
        <v/>
      </c>
      <c r="AW8" s="23" t="str">
        <f t="shared" si="1"/>
        <v/>
      </c>
    </row>
    <row r="9" spans="1:50" x14ac:dyDescent="0.35">
      <c r="A9" s="50" t="s">
        <v>23</v>
      </c>
      <c r="B9" s="29" t="s">
        <v>15</v>
      </c>
      <c r="C9" s="29" t="s">
        <v>12</v>
      </c>
      <c r="D9" s="30">
        <v>44998</v>
      </c>
      <c r="E9" s="31">
        <v>1</v>
      </c>
      <c r="F9" s="32">
        <f t="shared" si="2"/>
        <v>44999</v>
      </c>
      <c r="G9" s="33"/>
      <c r="H9" s="46" t="s">
        <v>16</v>
      </c>
      <c r="I9" s="35">
        <v>0</v>
      </c>
      <c r="J9" s="35"/>
      <c r="K9" s="3" t="str">
        <f t="shared" si="1"/>
        <v/>
      </c>
      <c r="L9" s="3" t="str">
        <f t="shared" si="1"/>
        <v/>
      </c>
      <c r="M9" s="3" t="str">
        <f t="shared" si="1"/>
        <v>u</v>
      </c>
      <c r="N9" s="23" t="str">
        <f t="shared" si="1"/>
        <v/>
      </c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23" t="str">
        <f t="shared" si="1"/>
        <v/>
      </c>
      <c r="U9" s="23" t="str">
        <f t="shared" si="1"/>
        <v/>
      </c>
      <c r="V9" s="23" t="str">
        <f t="shared" si="1"/>
        <v/>
      </c>
      <c r="W9" s="23" t="str">
        <f t="shared" si="1"/>
        <v/>
      </c>
      <c r="X9" s="23" t="str">
        <f t="shared" si="1"/>
        <v/>
      </c>
      <c r="Y9" s="23" t="str">
        <f t="shared" si="1"/>
        <v/>
      </c>
      <c r="Z9" s="23" t="str">
        <f t="shared" si="1"/>
        <v/>
      </c>
      <c r="AA9" s="23" t="str">
        <f t="shared" si="1"/>
        <v/>
      </c>
      <c r="AB9" s="23" t="str">
        <f t="shared" si="1"/>
        <v/>
      </c>
      <c r="AC9" s="23" t="str">
        <f t="shared" si="1"/>
        <v/>
      </c>
      <c r="AD9" s="23" t="str">
        <f t="shared" si="1"/>
        <v/>
      </c>
      <c r="AE9" s="23" t="str">
        <f t="shared" si="1"/>
        <v/>
      </c>
      <c r="AF9" s="23" t="str">
        <f t="shared" si="1"/>
        <v/>
      </c>
      <c r="AG9" s="23" t="str">
        <f t="shared" si="1"/>
        <v/>
      </c>
      <c r="AH9" s="23" t="str">
        <f t="shared" si="1"/>
        <v/>
      </c>
      <c r="AI9" s="23" t="str">
        <f t="shared" si="1"/>
        <v/>
      </c>
      <c r="AJ9" s="23" t="str">
        <f t="shared" si="1"/>
        <v/>
      </c>
      <c r="AK9" s="23" t="str">
        <f t="shared" si="1"/>
        <v/>
      </c>
      <c r="AL9" s="23" t="str">
        <f t="shared" si="1"/>
        <v/>
      </c>
      <c r="AM9" s="23" t="str">
        <f t="shared" si="1"/>
        <v/>
      </c>
      <c r="AN9" s="23" t="str">
        <f t="shared" si="1"/>
        <v/>
      </c>
      <c r="AO9" s="23" t="str">
        <f t="shared" si="1"/>
        <v/>
      </c>
      <c r="AP9" s="23" t="str">
        <f t="shared" si="1"/>
        <v/>
      </c>
      <c r="AQ9" s="23" t="str">
        <f t="shared" si="1"/>
        <v/>
      </c>
      <c r="AR9" s="23" t="str">
        <f t="shared" si="1"/>
        <v/>
      </c>
      <c r="AS9" s="23" t="str">
        <f t="shared" si="1"/>
        <v/>
      </c>
      <c r="AT9" s="23" t="str">
        <f t="shared" si="1"/>
        <v/>
      </c>
      <c r="AU9" s="23" t="str">
        <f t="shared" si="1"/>
        <v/>
      </c>
      <c r="AV9" s="23" t="str">
        <f t="shared" si="1"/>
        <v/>
      </c>
      <c r="AW9" s="23" t="str">
        <f t="shared" si="1"/>
        <v/>
      </c>
    </row>
    <row r="10" spans="1:50" x14ac:dyDescent="0.35">
      <c r="A10" s="50" t="s">
        <v>23</v>
      </c>
      <c r="B10" s="29" t="s">
        <v>15</v>
      </c>
      <c r="C10" s="29"/>
      <c r="D10" s="30">
        <v>45026</v>
      </c>
      <c r="E10" s="31">
        <v>5</v>
      </c>
      <c r="F10" s="32">
        <f t="shared" si="2"/>
        <v>45033</v>
      </c>
      <c r="G10" s="33"/>
      <c r="H10" s="46" t="s">
        <v>4</v>
      </c>
      <c r="I10" s="35">
        <v>0</v>
      </c>
      <c r="J10" s="35"/>
      <c r="K10" s="3" t="str">
        <f t="shared" si="1"/>
        <v/>
      </c>
      <c r="L10" s="3" t="str">
        <f t="shared" si="1"/>
        <v/>
      </c>
      <c r="M10" s="3" t="str">
        <f t="shared" si="1"/>
        <v/>
      </c>
      <c r="N10" s="23" t="str">
        <f t="shared" si="1"/>
        <v/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>u</v>
      </c>
      <c r="S10" s="23" t="str">
        <f t="shared" si="1"/>
        <v/>
      </c>
      <c r="T10" s="23" t="str">
        <f t="shared" si="1"/>
        <v/>
      </c>
      <c r="U10" s="23" t="str">
        <f t="shared" si="1"/>
        <v/>
      </c>
      <c r="V10" s="23" t="str">
        <f t="shared" si="1"/>
        <v/>
      </c>
      <c r="W10" s="23" t="str">
        <f t="shared" si="1"/>
        <v/>
      </c>
      <c r="X10" s="23" t="str">
        <f t="shared" si="1"/>
        <v/>
      </c>
      <c r="Y10" s="23" t="str">
        <f t="shared" si="1"/>
        <v/>
      </c>
      <c r="Z10" s="23" t="str">
        <f t="shared" si="1"/>
        <v/>
      </c>
      <c r="AA10" s="23" t="str">
        <f t="shared" si="1"/>
        <v/>
      </c>
      <c r="AB10" s="23" t="str">
        <f t="shared" si="1"/>
        <v/>
      </c>
      <c r="AC10" s="23" t="str">
        <f t="shared" si="1"/>
        <v/>
      </c>
      <c r="AD10" s="23" t="str">
        <f t="shared" si="1"/>
        <v/>
      </c>
      <c r="AE10" s="23" t="str">
        <f t="shared" si="1"/>
        <v/>
      </c>
      <c r="AF10" s="23" t="str">
        <f t="shared" ref="AF10:AW23" si="3">IF(AF$2=$F10+7-WEEKDAY($F10,2)-2,"u","")</f>
        <v/>
      </c>
      <c r="AG10" s="23" t="str">
        <f t="shared" si="3"/>
        <v/>
      </c>
      <c r="AH10" s="23" t="str">
        <f t="shared" si="3"/>
        <v/>
      </c>
      <c r="AI10" s="23" t="str">
        <f t="shared" si="3"/>
        <v/>
      </c>
      <c r="AJ10" s="23" t="str">
        <f t="shared" si="3"/>
        <v/>
      </c>
      <c r="AK10" s="23" t="str">
        <f t="shared" si="3"/>
        <v/>
      </c>
      <c r="AL10" s="23" t="str">
        <f t="shared" si="3"/>
        <v/>
      </c>
      <c r="AM10" s="23" t="str">
        <f t="shared" si="3"/>
        <v/>
      </c>
      <c r="AN10" s="23" t="str">
        <f t="shared" si="3"/>
        <v/>
      </c>
      <c r="AO10" s="23" t="str">
        <f t="shared" si="3"/>
        <v/>
      </c>
      <c r="AP10" s="23" t="str">
        <f t="shared" si="3"/>
        <v/>
      </c>
      <c r="AQ10" s="23" t="str">
        <f t="shared" si="3"/>
        <v/>
      </c>
      <c r="AR10" s="23" t="str">
        <f t="shared" si="3"/>
        <v/>
      </c>
      <c r="AS10" s="23" t="str">
        <f t="shared" si="3"/>
        <v/>
      </c>
      <c r="AT10" s="23" t="str">
        <f t="shared" si="3"/>
        <v/>
      </c>
      <c r="AU10" s="23" t="str">
        <f t="shared" si="3"/>
        <v/>
      </c>
      <c r="AV10" s="23" t="str">
        <f t="shared" si="3"/>
        <v/>
      </c>
      <c r="AW10" s="23" t="str">
        <f t="shared" si="3"/>
        <v/>
      </c>
    </row>
    <row r="11" spans="1:50" x14ac:dyDescent="0.35">
      <c r="A11" s="50" t="s">
        <v>23</v>
      </c>
      <c r="B11" s="29" t="s">
        <v>20</v>
      </c>
      <c r="C11" s="29" t="s">
        <v>14</v>
      </c>
      <c r="D11" s="30">
        <v>45048</v>
      </c>
      <c r="E11" s="31">
        <v>5</v>
      </c>
      <c r="F11" s="32">
        <f t="shared" si="2"/>
        <v>45055</v>
      </c>
      <c r="G11" s="33"/>
      <c r="H11" s="46" t="s">
        <v>4</v>
      </c>
      <c r="I11" s="35">
        <v>0</v>
      </c>
      <c r="J11" s="35"/>
      <c r="K11" s="3" t="str">
        <f t="shared" ref="K11:Z23" si="4">IF(K$2=$F11+7-WEEKDAY($F11,2)-2,"u","")</f>
        <v/>
      </c>
      <c r="L11" s="3" t="str">
        <f t="shared" si="4"/>
        <v/>
      </c>
      <c r="M11" s="3" t="str">
        <f t="shared" si="4"/>
        <v/>
      </c>
      <c r="N11" s="23" t="str">
        <f t="shared" si="4"/>
        <v/>
      </c>
      <c r="O11" s="23" t="str">
        <f t="shared" si="4"/>
        <v/>
      </c>
      <c r="P11" s="23" t="str">
        <f t="shared" si="4"/>
        <v/>
      </c>
      <c r="Q11" s="23" t="str">
        <f t="shared" si="4"/>
        <v/>
      </c>
      <c r="R11" s="23" t="str">
        <f t="shared" si="4"/>
        <v/>
      </c>
      <c r="S11" s="23" t="str">
        <f t="shared" si="4"/>
        <v/>
      </c>
      <c r="T11" s="23" t="str">
        <f t="shared" si="4"/>
        <v/>
      </c>
      <c r="U11" s="23" t="str">
        <f t="shared" si="4"/>
        <v>u</v>
      </c>
      <c r="V11" s="23" t="str">
        <f t="shared" si="4"/>
        <v/>
      </c>
      <c r="W11" s="23" t="str">
        <f t="shared" si="4"/>
        <v/>
      </c>
      <c r="X11" s="23" t="str">
        <f t="shared" si="4"/>
        <v/>
      </c>
      <c r="Y11" s="23" t="str">
        <f t="shared" si="4"/>
        <v/>
      </c>
      <c r="Z11" s="23" t="str">
        <f t="shared" si="4"/>
        <v/>
      </c>
      <c r="AA11" s="23" t="str">
        <f t="shared" ref="AA11:AP23" si="5">IF(AA$2=$F11+7-WEEKDAY($F11,2)-2,"u","")</f>
        <v/>
      </c>
      <c r="AB11" s="23" t="str">
        <f t="shared" si="5"/>
        <v/>
      </c>
      <c r="AC11" s="23" t="str">
        <f t="shared" si="5"/>
        <v/>
      </c>
      <c r="AD11" s="23" t="str">
        <f t="shared" si="5"/>
        <v/>
      </c>
      <c r="AE11" s="23" t="str">
        <f t="shared" si="5"/>
        <v/>
      </c>
      <c r="AF11" s="23" t="str">
        <f t="shared" si="5"/>
        <v/>
      </c>
      <c r="AG11" s="23" t="str">
        <f t="shared" si="5"/>
        <v/>
      </c>
      <c r="AH11" s="23" t="str">
        <f t="shared" si="5"/>
        <v/>
      </c>
      <c r="AI11" s="23" t="str">
        <f t="shared" si="5"/>
        <v/>
      </c>
      <c r="AJ11" s="23" t="str">
        <f t="shared" si="5"/>
        <v/>
      </c>
      <c r="AK11" s="23" t="str">
        <f t="shared" si="5"/>
        <v/>
      </c>
      <c r="AL11" s="23" t="str">
        <f t="shared" si="5"/>
        <v/>
      </c>
      <c r="AM11" s="23" t="str">
        <f t="shared" si="5"/>
        <v/>
      </c>
      <c r="AN11" s="23" t="str">
        <f t="shared" si="5"/>
        <v/>
      </c>
      <c r="AO11" s="23" t="str">
        <f t="shared" si="5"/>
        <v/>
      </c>
      <c r="AP11" s="23" t="str">
        <f t="shared" si="5"/>
        <v/>
      </c>
      <c r="AQ11" s="23" t="str">
        <f t="shared" si="3"/>
        <v/>
      </c>
      <c r="AR11" s="23" t="str">
        <f t="shared" si="3"/>
        <v/>
      </c>
      <c r="AS11" s="23" t="str">
        <f t="shared" si="3"/>
        <v/>
      </c>
      <c r="AT11" s="23" t="str">
        <f t="shared" si="3"/>
        <v/>
      </c>
      <c r="AU11" s="23" t="str">
        <f t="shared" si="3"/>
        <v/>
      </c>
      <c r="AV11" s="23" t="str">
        <f t="shared" si="3"/>
        <v/>
      </c>
      <c r="AW11" s="23" t="str">
        <f t="shared" si="3"/>
        <v/>
      </c>
    </row>
    <row r="12" spans="1:50" x14ac:dyDescent="0.35">
      <c r="A12" s="50" t="s">
        <v>23</v>
      </c>
      <c r="B12" s="29" t="s">
        <v>19</v>
      </c>
      <c r="C12" s="29" t="s">
        <v>13</v>
      </c>
      <c r="D12" s="30">
        <v>45056</v>
      </c>
      <c r="E12" s="31">
        <v>15</v>
      </c>
      <c r="F12" s="32">
        <f t="shared" si="2"/>
        <v>45077</v>
      </c>
      <c r="G12" s="33"/>
      <c r="H12" s="46" t="s">
        <v>27</v>
      </c>
      <c r="I12" s="35">
        <v>0</v>
      </c>
      <c r="J12" s="35"/>
      <c r="K12" s="3" t="str">
        <f t="shared" si="4"/>
        <v/>
      </c>
      <c r="L12" s="3" t="str">
        <f t="shared" si="4"/>
        <v/>
      </c>
      <c r="M12" s="3" t="str">
        <f t="shared" si="4"/>
        <v/>
      </c>
      <c r="N12" s="23" t="str">
        <f t="shared" si="4"/>
        <v/>
      </c>
      <c r="O12" s="23" t="str">
        <f t="shared" si="4"/>
        <v/>
      </c>
      <c r="P12" s="23" t="str">
        <f t="shared" si="4"/>
        <v/>
      </c>
      <c r="Q12" s="23" t="str">
        <f t="shared" si="4"/>
        <v/>
      </c>
      <c r="R12" s="23" t="str">
        <f t="shared" si="4"/>
        <v/>
      </c>
      <c r="S12" s="23" t="str">
        <f t="shared" si="4"/>
        <v/>
      </c>
      <c r="T12" s="23" t="str">
        <f t="shared" si="4"/>
        <v/>
      </c>
      <c r="U12" s="23" t="str">
        <f t="shared" si="4"/>
        <v/>
      </c>
      <c r="V12" s="23" t="str">
        <f t="shared" si="4"/>
        <v/>
      </c>
      <c r="W12" s="23" t="str">
        <f t="shared" si="4"/>
        <v/>
      </c>
      <c r="X12" s="23" t="str">
        <f t="shared" si="4"/>
        <v>u</v>
      </c>
      <c r="Y12" s="23" t="str">
        <f t="shared" si="4"/>
        <v/>
      </c>
      <c r="Z12" s="23" t="str">
        <f t="shared" si="4"/>
        <v/>
      </c>
      <c r="AA12" s="23" t="str">
        <f t="shared" si="5"/>
        <v/>
      </c>
      <c r="AB12" s="23" t="str">
        <f t="shared" si="5"/>
        <v/>
      </c>
      <c r="AC12" s="23" t="str">
        <f t="shared" si="5"/>
        <v/>
      </c>
      <c r="AD12" s="23" t="str">
        <f t="shared" si="5"/>
        <v/>
      </c>
      <c r="AE12" s="23" t="str">
        <f t="shared" si="5"/>
        <v/>
      </c>
      <c r="AF12" s="23" t="str">
        <f t="shared" si="5"/>
        <v/>
      </c>
      <c r="AG12" s="23" t="str">
        <f t="shared" si="5"/>
        <v/>
      </c>
      <c r="AH12" s="23" t="str">
        <f t="shared" si="5"/>
        <v/>
      </c>
      <c r="AI12" s="23" t="str">
        <f t="shared" si="5"/>
        <v/>
      </c>
      <c r="AJ12" s="23" t="str">
        <f t="shared" si="5"/>
        <v/>
      </c>
      <c r="AK12" s="23" t="str">
        <f t="shared" si="5"/>
        <v/>
      </c>
      <c r="AL12" s="23" t="str">
        <f t="shared" si="5"/>
        <v/>
      </c>
      <c r="AM12" s="23" t="str">
        <f t="shared" si="5"/>
        <v/>
      </c>
      <c r="AN12" s="23" t="str">
        <f t="shared" si="5"/>
        <v/>
      </c>
      <c r="AO12" s="23" t="str">
        <f t="shared" si="5"/>
        <v/>
      </c>
      <c r="AP12" s="23" t="str">
        <f t="shared" si="5"/>
        <v/>
      </c>
      <c r="AQ12" s="23" t="str">
        <f t="shared" si="3"/>
        <v/>
      </c>
      <c r="AR12" s="23" t="str">
        <f t="shared" si="3"/>
        <v/>
      </c>
      <c r="AS12" s="23" t="str">
        <f t="shared" si="3"/>
        <v/>
      </c>
      <c r="AT12" s="23" t="str">
        <f t="shared" si="3"/>
        <v/>
      </c>
      <c r="AU12" s="23" t="str">
        <f t="shared" si="3"/>
        <v/>
      </c>
      <c r="AV12" s="23" t="str">
        <f t="shared" si="3"/>
        <v/>
      </c>
      <c r="AW12" s="23" t="str">
        <f t="shared" si="3"/>
        <v/>
      </c>
    </row>
    <row r="13" spans="1:50" x14ac:dyDescent="0.35">
      <c r="A13" s="29" t="s">
        <v>22</v>
      </c>
      <c r="B13" s="29" t="s">
        <v>24</v>
      </c>
      <c r="C13" s="29"/>
      <c r="D13" s="30">
        <v>45011</v>
      </c>
      <c r="E13" s="31">
        <v>8</v>
      </c>
      <c r="F13" s="32">
        <v>45153</v>
      </c>
      <c r="G13" s="33"/>
      <c r="H13" s="46" t="s">
        <v>4</v>
      </c>
      <c r="I13" s="35">
        <v>0</v>
      </c>
      <c r="J13" s="35"/>
      <c r="K13" s="3" t="str">
        <f t="shared" si="4"/>
        <v/>
      </c>
      <c r="L13" s="3" t="str">
        <f t="shared" si="4"/>
        <v/>
      </c>
      <c r="M13" s="3" t="str">
        <f t="shared" si="4"/>
        <v/>
      </c>
      <c r="N13" s="23" t="str">
        <f t="shared" si="4"/>
        <v/>
      </c>
      <c r="O13" s="23" t="str">
        <f t="shared" si="4"/>
        <v/>
      </c>
      <c r="P13" s="23" t="str">
        <f t="shared" si="4"/>
        <v/>
      </c>
      <c r="Q13" s="23" t="str">
        <f t="shared" si="4"/>
        <v/>
      </c>
      <c r="R13" s="23" t="str">
        <f t="shared" si="4"/>
        <v/>
      </c>
      <c r="S13" s="23" t="str">
        <f t="shared" si="4"/>
        <v/>
      </c>
      <c r="T13" s="23" t="str">
        <f t="shared" si="4"/>
        <v/>
      </c>
      <c r="U13" s="23" t="str">
        <f t="shared" si="4"/>
        <v/>
      </c>
      <c r="V13" s="23" t="str">
        <f t="shared" si="4"/>
        <v/>
      </c>
      <c r="W13" s="23" t="str">
        <f t="shared" si="4"/>
        <v/>
      </c>
      <c r="X13" s="23" t="str">
        <f t="shared" si="4"/>
        <v/>
      </c>
      <c r="Y13" s="23" t="str">
        <f t="shared" si="4"/>
        <v/>
      </c>
      <c r="Z13" s="23" t="str">
        <f t="shared" si="4"/>
        <v/>
      </c>
      <c r="AA13" s="23" t="str">
        <f t="shared" si="5"/>
        <v/>
      </c>
      <c r="AB13" s="23" t="str">
        <f t="shared" si="5"/>
        <v/>
      </c>
      <c r="AC13" s="23" t="str">
        <f t="shared" si="5"/>
        <v/>
      </c>
      <c r="AD13" s="23" t="str">
        <f t="shared" si="5"/>
        <v/>
      </c>
      <c r="AE13" s="23" t="str">
        <f t="shared" si="5"/>
        <v/>
      </c>
      <c r="AF13" s="23" t="str">
        <f t="shared" si="5"/>
        <v/>
      </c>
      <c r="AG13" s="23" t="str">
        <f t="shared" si="5"/>
        <v/>
      </c>
      <c r="AH13" s="23" t="str">
        <f t="shared" si="5"/>
        <v/>
      </c>
      <c r="AI13" s="23" t="str">
        <f t="shared" si="5"/>
        <v>u</v>
      </c>
      <c r="AJ13" s="23" t="str">
        <f t="shared" si="5"/>
        <v/>
      </c>
      <c r="AK13" s="23" t="str">
        <f t="shared" si="5"/>
        <v/>
      </c>
      <c r="AL13" s="23" t="str">
        <f t="shared" si="5"/>
        <v/>
      </c>
      <c r="AM13" s="23" t="str">
        <f t="shared" si="5"/>
        <v/>
      </c>
      <c r="AN13" s="23" t="str">
        <f t="shared" si="5"/>
        <v/>
      </c>
      <c r="AO13" s="23" t="str">
        <f t="shared" si="5"/>
        <v/>
      </c>
      <c r="AP13" s="23" t="str">
        <f t="shared" si="5"/>
        <v/>
      </c>
      <c r="AQ13" s="23" t="str">
        <f t="shared" si="3"/>
        <v/>
      </c>
      <c r="AR13" s="23" t="str">
        <f t="shared" si="3"/>
        <v/>
      </c>
      <c r="AS13" s="23" t="str">
        <f t="shared" si="3"/>
        <v/>
      </c>
      <c r="AT13" s="23" t="str">
        <f t="shared" si="3"/>
        <v/>
      </c>
      <c r="AU13" s="23" t="str">
        <f t="shared" si="3"/>
        <v/>
      </c>
      <c r="AV13" s="23" t="str">
        <f t="shared" si="3"/>
        <v/>
      </c>
      <c r="AW13" s="23" t="str">
        <f t="shared" si="3"/>
        <v/>
      </c>
    </row>
    <row r="14" spans="1:50" x14ac:dyDescent="0.35">
      <c r="A14" s="50" t="s">
        <v>23</v>
      </c>
      <c r="B14" s="29" t="s">
        <v>8</v>
      </c>
      <c r="C14" s="29" t="s">
        <v>12</v>
      </c>
      <c r="D14" s="30">
        <v>45011</v>
      </c>
      <c r="E14" s="31">
        <v>5</v>
      </c>
      <c r="F14" s="32">
        <f t="shared" si="2"/>
        <v>45016</v>
      </c>
      <c r="G14" s="33"/>
      <c r="H14" s="46" t="s">
        <v>4</v>
      </c>
      <c r="I14" s="35">
        <v>0</v>
      </c>
      <c r="J14" s="35"/>
      <c r="K14" s="3" t="str">
        <f t="shared" si="4"/>
        <v/>
      </c>
      <c r="L14" s="3" t="str">
        <f t="shared" si="4"/>
        <v/>
      </c>
      <c r="M14" s="3" t="str">
        <f t="shared" si="4"/>
        <v/>
      </c>
      <c r="N14" s="23" t="str">
        <f t="shared" si="4"/>
        <v/>
      </c>
      <c r="O14" s="23" t="str">
        <f t="shared" si="4"/>
        <v>u</v>
      </c>
      <c r="P14" s="23" t="str">
        <f t="shared" si="4"/>
        <v/>
      </c>
      <c r="Q14" s="23" t="str">
        <f t="shared" si="4"/>
        <v/>
      </c>
      <c r="R14" s="23" t="str">
        <f t="shared" si="4"/>
        <v/>
      </c>
      <c r="S14" s="23" t="str">
        <f t="shared" si="4"/>
        <v/>
      </c>
      <c r="T14" s="23" t="str">
        <f t="shared" si="4"/>
        <v/>
      </c>
      <c r="U14" s="23" t="str">
        <f t="shared" si="4"/>
        <v/>
      </c>
      <c r="V14" s="23" t="str">
        <f t="shared" si="4"/>
        <v/>
      </c>
      <c r="W14" s="23" t="str">
        <f t="shared" si="4"/>
        <v/>
      </c>
      <c r="X14" s="23" t="str">
        <f t="shared" si="4"/>
        <v/>
      </c>
      <c r="Y14" s="23" t="str">
        <f t="shared" si="4"/>
        <v/>
      </c>
      <c r="Z14" s="23" t="str">
        <f t="shared" si="4"/>
        <v/>
      </c>
      <c r="AA14" s="23" t="str">
        <f t="shared" si="5"/>
        <v/>
      </c>
      <c r="AB14" s="23" t="str">
        <f t="shared" si="5"/>
        <v/>
      </c>
      <c r="AC14" s="23" t="str">
        <f t="shared" si="5"/>
        <v/>
      </c>
      <c r="AD14" s="23" t="str">
        <f t="shared" si="5"/>
        <v/>
      </c>
      <c r="AE14" s="23" t="str">
        <f t="shared" si="5"/>
        <v/>
      </c>
      <c r="AF14" s="23" t="str">
        <f t="shared" si="5"/>
        <v/>
      </c>
      <c r="AG14" s="23" t="str">
        <f t="shared" si="5"/>
        <v/>
      </c>
      <c r="AH14" s="23" t="str">
        <f t="shared" si="5"/>
        <v/>
      </c>
      <c r="AI14" s="23" t="str">
        <f t="shared" si="5"/>
        <v/>
      </c>
      <c r="AJ14" s="23" t="str">
        <f t="shared" si="5"/>
        <v/>
      </c>
      <c r="AK14" s="23" t="str">
        <f t="shared" si="5"/>
        <v/>
      </c>
      <c r="AL14" s="23" t="str">
        <f t="shared" si="5"/>
        <v/>
      </c>
      <c r="AM14" s="23" t="str">
        <f t="shared" si="5"/>
        <v/>
      </c>
      <c r="AN14" s="23" t="str">
        <f t="shared" si="5"/>
        <v/>
      </c>
      <c r="AO14" s="23" t="str">
        <f t="shared" si="5"/>
        <v/>
      </c>
      <c r="AP14" s="23" t="str">
        <f t="shared" si="5"/>
        <v/>
      </c>
      <c r="AQ14" s="23" t="str">
        <f t="shared" si="3"/>
        <v/>
      </c>
      <c r="AR14" s="23" t="str">
        <f t="shared" si="3"/>
        <v/>
      </c>
      <c r="AS14" s="23" t="str">
        <f t="shared" si="3"/>
        <v/>
      </c>
      <c r="AT14" s="23" t="str">
        <f t="shared" si="3"/>
        <v/>
      </c>
      <c r="AU14" s="23" t="str">
        <f t="shared" si="3"/>
        <v/>
      </c>
      <c r="AV14" s="23" t="str">
        <f t="shared" si="3"/>
        <v/>
      </c>
      <c r="AW14" s="23" t="str">
        <f t="shared" si="3"/>
        <v/>
      </c>
    </row>
    <row r="15" spans="1:50" x14ac:dyDescent="0.35">
      <c r="A15" s="50" t="s">
        <v>23</v>
      </c>
      <c r="B15" s="29"/>
      <c r="C15" s="29"/>
      <c r="D15" s="30">
        <v>45128</v>
      </c>
      <c r="E15" s="31">
        <v>1</v>
      </c>
      <c r="F15" s="32">
        <f t="shared" si="2"/>
        <v>45131</v>
      </c>
      <c r="G15" s="33"/>
      <c r="H15" s="46" t="s">
        <v>4</v>
      </c>
      <c r="I15" s="35">
        <v>0</v>
      </c>
      <c r="J15" s="35"/>
      <c r="K15" s="3" t="str">
        <f t="shared" si="4"/>
        <v/>
      </c>
      <c r="L15" s="3" t="str">
        <f t="shared" si="4"/>
        <v/>
      </c>
      <c r="M15" s="3" t="str">
        <f t="shared" si="4"/>
        <v/>
      </c>
      <c r="N15" s="23" t="str">
        <f t="shared" si="4"/>
        <v/>
      </c>
      <c r="O15" s="23" t="str">
        <f t="shared" si="4"/>
        <v/>
      </c>
      <c r="P15" s="23" t="str">
        <f t="shared" si="4"/>
        <v/>
      </c>
      <c r="Q15" s="23" t="str">
        <f t="shared" si="4"/>
        <v/>
      </c>
      <c r="R15" s="23" t="str">
        <f t="shared" si="4"/>
        <v/>
      </c>
      <c r="S15" s="23" t="str">
        <f t="shared" si="4"/>
        <v/>
      </c>
      <c r="T15" s="23" t="str">
        <f t="shared" si="4"/>
        <v/>
      </c>
      <c r="U15" s="23" t="str">
        <f t="shared" si="4"/>
        <v/>
      </c>
      <c r="V15" s="23" t="str">
        <f t="shared" si="4"/>
        <v/>
      </c>
      <c r="W15" s="23" t="str">
        <f t="shared" si="4"/>
        <v/>
      </c>
      <c r="X15" s="23" t="str">
        <f t="shared" si="4"/>
        <v/>
      </c>
      <c r="Y15" s="23" t="str">
        <f t="shared" si="4"/>
        <v/>
      </c>
      <c r="Z15" s="23" t="str">
        <f t="shared" si="4"/>
        <v/>
      </c>
      <c r="AA15" s="23" t="str">
        <f t="shared" si="5"/>
        <v/>
      </c>
      <c r="AB15" s="23" t="str">
        <f t="shared" si="5"/>
        <v/>
      </c>
      <c r="AC15" s="23" t="str">
        <f t="shared" si="5"/>
        <v/>
      </c>
      <c r="AD15" s="23" t="str">
        <f t="shared" si="5"/>
        <v/>
      </c>
      <c r="AE15" s="23" t="str">
        <f t="shared" si="5"/>
        <v/>
      </c>
      <c r="AF15" s="23" t="str">
        <f t="shared" si="5"/>
        <v>u</v>
      </c>
      <c r="AG15" s="23" t="str">
        <f t="shared" si="5"/>
        <v/>
      </c>
      <c r="AH15" s="23" t="str">
        <f t="shared" si="5"/>
        <v/>
      </c>
      <c r="AI15" s="23" t="str">
        <f t="shared" si="5"/>
        <v/>
      </c>
      <c r="AJ15" s="23" t="str">
        <f t="shared" si="5"/>
        <v/>
      </c>
      <c r="AK15" s="23" t="str">
        <f t="shared" si="5"/>
        <v/>
      </c>
      <c r="AL15" s="23" t="str">
        <f t="shared" si="5"/>
        <v/>
      </c>
      <c r="AM15" s="23" t="str">
        <f t="shared" si="5"/>
        <v/>
      </c>
      <c r="AN15" s="23" t="str">
        <f t="shared" si="5"/>
        <v/>
      </c>
      <c r="AO15" s="23" t="str">
        <f t="shared" si="5"/>
        <v/>
      </c>
      <c r="AP15" s="23" t="str">
        <f t="shared" si="5"/>
        <v/>
      </c>
      <c r="AQ15" s="23" t="str">
        <f t="shared" si="3"/>
        <v/>
      </c>
      <c r="AR15" s="23" t="str">
        <f t="shared" si="3"/>
        <v/>
      </c>
      <c r="AS15" s="23" t="str">
        <f t="shared" si="3"/>
        <v/>
      </c>
      <c r="AT15" s="23" t="str">
        <f t="shared" si="3"/>
        <v/>
      </c>
      <c r="AU15" s="23" t="str">
        <f t="shared" si="3"/>
        <v/>
      </c>
      <c r="AV15" s="23" t="str">
        <f t="shared" si="3"/>
        <v/>
      </c>
      <c r="AW15" s="23" t="str">
        <f t="shared" si="3"/>
        <v/>
      </c>
    </row>
    <row r="16" spans="1:50" x14ac:dyDescent="0.35">
      <c r="A16" s="50" t="s">
        <v>23</v>
      </c>
      <c r="B16" s="29" t="s">
        <v>9</v>
      </c>
      <c r="C16" s="29" t="s">
        <v>14</v>
      </c>
      <c r="D16" s="30">
        <v>45152</v>
      </c>
      <c r="E16" s="31">
        <v>1</v>
      </c>
      <c r="F16" s="32">
        <f t="shared" si="2"/>
        <v>45153</v>
      </c>
      <c r="G16" s="33"/>
      <c r="H16" s="46" t="s">
        <v>4</v>
      </c>
      <c r="I16" s="35">
        <v>0</v>
      </c>
      <c r="J16" s="35"/>
      <c r="K16" s="3" t="str">
        <f t="shared" si="4"/>
        <v/>
      </c>
      <c r="L16" s="3" t="str">
        <f t="shared" si="4"/>
        <v/>
      </c>
      <c r="M16" s="3" t="str">
        <f t="shared" si="4"/>
        <v/>
      </c>
      <c r="N16" s="23" t="str">
        <f t="shared" si="4"/>
        <v/>
      </c>
      <c r="O16" s="23" t="str">
        <f t="shared" si="4"/>
        <v/>
      </c>
      <c r="P16" s="23" t="str">
        <f t="shared" si="4"/>
        <v/>
      </c>
      <c r="Q16" s="23" t="str">
        <f t="shared" si="4"/>
        <v/>
      </c>
      <c r="R16" s="23" t="str">
        <f t="shared" si="4"/>
        <v/>
      </c>
      <c r="S16" s="23" t="str">
        <f t="shared" si="4"/>
        <v/>
      </c>
      <c r="T16" s="23" t="str">
        <f t="shared" si="4"/>
        <v/>
      </c>
      <c r="U16" s="23" t="str">
        <f t="shared" si="4"/>
        <v/>
      </c>
      <c r="V16" s="23" t="str">
        <f t="shared" si="4"/>
        <v/>
      </c>
      <c r="W16" s="23" t="str">
        <f t="shared" si="4"/>
        <v/>
      </c>
      <c r="X16" s="23" t="str">
        <f t="shared" si="4"/>
        <v/>
      </c>
      <c r="Y16" s="23" t="str">
        <f t="shared" si="4"/>
        <v/>
      </c>
      <c r="Z16" s="23" t="str">
        <f t="shared" si="4"/>
        <v/>
      </c>
      <c r="AA16" s="23" t="str">
        <f t="shared" si="5"/>
        <v/>
      </c>
      <c r="AB16" s="23" t="str">
        <f t="shared" si="5"/>
        <v/>
      </c>
      <c r="AC16" s="23" t="str">
        <f t="shared" si="5"/>
        <v/>
      </c>
      <c r="AD16" s="23" t="str">
        <f t="shared" si="5"/>
        <v/>
      </c>
      <c r="AE16" s="23" t="str">
        <f t="shared" si="5"/>
        <v/>
      </c>
      <c r="AF16" s="23" t="str">
        <f t="shared" si="5"/>
        <v/>
      </c>
      <c r="AG16" s="23" t="str">
        <f t="shared" si="5"/>
        <v/>
      </c>
      <c r="AH16" s="23" t="str">
        <f t="shared" si="5"/>
        <v/>
      </c>
      <c r="AI16" s="23" t="str">
        <f t="shared" si="5"/>
        <v>u</v>
      </c>
      <c r="AJ16" s="23" t="str">
        <f t="shared" si="5"/>
        <v/>
      </c>
      <c r="AK16" s="23" t="str">
        <f t="shared" si="5"/>
        <v/>
      </c>
      <c r="AL16" s="23" t="str">
        <f t="shared" si="5"/>
        <v/>
      </c>
      <c r="AM16" s="23" t="str">
        <f t="shared" si="5"/>
        <v/>
      </c>
      <c r="AN16" s="23" t="str">
        <f t="shared" si="5"/>
        <v/>
      </c>
      <c r="AO16" s="23" t="str">
        <f t="shared" si="5"/>
        <v/>
      </c>
      <c r="AP16" s="23" t="str">
        <f t="shared" si="5"/>
        <v/>
      </c>
      <c r="AQ16" s="23" t="str">
        <f t="shared" si="3"/>
        <v/>
      </c>
      <c r="AR16" s="23" t="str">
        <f t="shared" si="3"/>
        <v/>
      </c>
      <c r="AS16" s="23" t="str">
        <f t="shared" si="3"/>
        <v/>
      </c>
      <c r="AT16" s="23" t="str">
        <f t="shared" si="3"/>
        <v/>
      </c>
      <c r="AU16" s="23" t="str">
        <f t="shared" si="3"/>
        <v/>
      </c>
      <c r="AV16" s="23" t="str">
        <f t="shared" si="3"/>
        <v/>
      </c>
      <c r="AW16" s="23" t="str">
        <f t="shared" si="3"/>
        <v/>
      </c>
    </row>
    <row r="17" spans="1:49" x14ac:dyDescent="0.35">
      <c r="A17" s="50" t="s">
        <v>23</v>
      </c>
      <c r="B17" s="29" t="s">
        <v>10</v>
      </c>
      <c r="C17" s="29" t="s">
        <v>13</v>
      </c>
      <c r="D17" s="30">
        <v>45135</v>
      </c>
      <c r="E17" s="31">
        <v>1</v>
      </c>
      <c r="F17" s="32">
        <f t="shared" si="2"/>
        <v>45138</v>
      </c>
      <c r="G17" s="33"/>
      <c r="H17" s="46" t="s">
        <v>5</v>
      </c>
      <c r="I17" s="35">
        <v>0</v>
      </c>
      <c r="J17" s="35"/>
      <c r="K17" s="3" t="str">
        <f t="shared" si="4"/>
        <v/>
      </c>
      <c r="L17" s="3" t="str">
        <f t="shared" si="4"/>
        <v/>
      </c>
      <c r="M17" s="3" t="str">
        <f t="shared" si="4"/>
        <v/>
      </c>
      <c r="N17" s="23" t="str">
        <f t="shared" si="4"/>
        <v/>
      </c>
      <c r="O17" s="23" t="str">
        <f t="shared" si="4"/>
        <v/>
      </c>
      <c r="P17" s="23" t="str">
        <f t="shared" si="4"/>
        <v/>
      </c>
      <c r="Q17" s="23" t="str">
        <f t="shared" si="4"/>
        <v/>
      </c>
      <c r="R17" s="23" t="str">
        <f t="shared" si="4"/>
        <v/>
      </c>
      <c r="S17" s="23" t="str">
        <f t="shared" si="4"/>
        <v/>
      </c>
      <c r="T17" s="23" t="str">
        <f t="shared" si="4"/>
        <v/>
      </c>
      <c r="U17" s="23" t="str">
        <f t="shared" si="4"/>
        <v/>
      </c>
      <c r="V17" s="23" t="str">
        <f t="shared" si="4"/>
        <v/>
      </c>
      <c r="W17" s="23" t="str">
        <f t="shared" si="4"/>
        <v/>
      </c>
      <c r="X17" s="23" t="str">
        <f t="shared" si="4"/>
        <v/>
      </c>
      <c r="Y17" s="23" t="str">
        <f t="shared" si="4"/>
        <v/>
      </c>
      <c r="Z17" s="23" t="str">
        <f t="shared" si="4"/>
        <v/>
      </c>
      <c r="AA17" s="23" t="str">
        <f t="shared" si="5"/>
        <v/>
      </c>
      <c r="AB17" s="23" t="str">
        <f t="shared" si="5"/>
        <v/>
      </c>
      <c r="AC17" s="23" t="str">
        <f t="shared" si="5"/>
        <v/>
      </c>
      <c r="AD17" s="23" t="str">
        <f t="shared" si="5"/>
        <v/>
      </c>
      <c r="AE17" s="23" t="str">
        <f t="shared" si="5"/>
        <v/>
      </c>
      <c r="AF17" s="23" t="str">
        <f t="shared" si="5"/>
        <v/>
      </c>
      <c r="AG17" s="23" t="str">
        <f t="shared" si="5"/>
        <v>u</v>
      </c>
      <c r="AH17" s="23" t="str">
        <f t="shared" si="5"/>
        <v/>
      </c>
      <c r="AI17" s="23" t="str">
        <f t="shared" si="5"/>
        <v/>
      </c>
      <c r="AJ17" s="23" t="str">
        <f t="shared" si="5"/>
        <v/>
      </c>
      <c r="AK17" s="23" t="str">
        <f t="shared" si="5"/>
        <v/>
      </c>
      <c r="AL17" s="23" t="str">
        <f t="shared" si="5"/>
        <v/>
      </c>
      <c r="AM17" s="23" t="str">
        <f t="shared" si="5"/>
        <v/>
      </c>
      <c r="AN17" s="23" t="str">
        <f t="shared" si="5"/>
        <v/>
      </c>
      <c r="AO17" s="23" t="str">
        <f t="shared" si="5"/>
        <v/>
      </c>
      <c r="AP17" s="23" t="str">
        <f t="shared" si="5"/>
        <v/>
      </c>
      <c r="AQ17" s="23" t="str">
        <f t="shared" si="3"/>
        <v/>
      </c>
      <c r="AR17" s="23" t="str">
        <f t="shared" si="3"/>
        <v/>
      </c>
      <c r="AS17" s="23" t="str">
        <f t="shared" si="3"/>
        <v/>
      </c>
      <c r="AT17" s="23" t="str">
        <f t="shared" si="3"/>
        <v/>
      </c>
      <c r="AU17" s="23" t="str">
        <f t="shared" si="3"/>
        <v/>
      </c>
      <c r="AV17" s="23" t="str">
        <f t="shared" si="3"/>
        <v/>
      </c>
      <c r="AW17" s="23" t="str">
        <f t="shared" si="3"/>
        <v/>
      </c>
    </row>
    <row r="18" spans="1:49" x14ac:dyDescent="0.35">
      <c r="A18" s="29" t="s">
        <v>22</v>
      </c>
      <c r="B18" s="29" t="s">
        <v>25</v>
      </c>
      <c r="C18" s="29"/>
      <c r="D18" s="30">
        <v>45009</v>
      </c>
      <c r="E18" s="31">
        <v>60</v>
      </c>
      <c r="F18" s="32">
        <v>45093</v>
      </c>
      <c r="G18" s="33"/>
      <c r="H18" s="46" t="s">
        <v>4</v>
      </c>
      <c r="I18" s="35">
        <v>0</v>
      </c>
      <c r="J18" s="35"/>
      <c r="K18" s="3" t="str">
        <f t="shared" si="4"/>
        <v/>
      </c>
      <c r="L18" s="3" t="str">
        <f t="shared" si="4"/>
        <v/>
      </c>
      <c r="M18" s="3" t="str">
        <f t="shared" si="4"/>
        <v/>
      </c>
      <c r="N18" s="23" t="str">
        <f t="shared" si="4"/>
        <v/>
      </c>
      <c r="O18" s="23" t="str">
        <f t="shared" si="4"/>
        <v/>
      </c>
      <c r="P18" s="23" t="str">
        <f t="shared" si="4"/>
        <v/>
      </c>
      <c r="Q18" s="23" t="str">
        <f t="shared" si="4"/>
        <v/>
      </c>
      <c r="R18" s="23" t="str">
        <f t="shared" si="4"/>
        <v/>
      </c>
      <c r="S18" s="23" t="str">
        <f t="shared" si="4"/>
        <v/>
      </c>
      <c r="T18" s="23" t="str">
        <f t="shared" si="4"/>
        <v/>
      </c>
      <c r="U18" s="23" t="str">
        <f t="shared" si="4"/>
        <v/>
      </c>
      <c r="V18" s="23" t="str">
        <f t="shared" si="4"/>
        <v/>
      </c>
      <c r="W18" s="23" t="str">
        <f t="shared" si="4"/>
        <v/>
      </c>
      <c r="X18" s="23" t="str">
        <f t="shared" si="4"/>
        <v/>
      </c>
      <c r="Y18" s="23" t="str">
        <f t="shared" si="4"/>
        <v/>
      </c>
      <c r="Z18" s="23" t="str">
        <f t="shared" si="4"/>
        <v>u</v>
      </c>
      <c r="AA18" s="23" t="str">
        <f t="shared" si="5"/>
        <v/>
      </c>
      <c r="AB18" s="23" t="str">
        <f t="shared" si="5"/>
        <v/>
      </c>
      <c r="AC18" s="23" t="str">
        <f t="shared" si="5"/>
        <v/>
      </c>
      <c r="AD18" s="23" t="str">
        <f t="shared" si="5"/>
        <v/>
      </c>
      <c r="AE18" s="23" t="str">
        <f t="shared" si="5"/>
        <v/>
      </c>
      <c r="AF18" s="23" t="str">
        <f t="shared" si="5"/>
        <v/>
      </c>
      <c r="AG18" s="23" t="str">
        <f t="shared" si="5"/>
        <v/>
      </c>
      <c r="AH18" s="23" t="str">
        <f t="shared" si="5"/>
        <v/>
      </c>
      <c r="AI18" s="23" t="str">
        <f t="shared" si="5"/>
        <v/>
      </c>
      <c r="AJ18" s="23" t="str">
        <f t="shared" si="5"/>
        <v/>
      </c>
      <c r="AK18" s="23" t="str">
        <f t="shared" si="5"/>
        <v/>
      </c>
      <c r="AL18" s="23" t="str">
        <f t="shared" si="5"/>
        <v/>
      </c>
      <c r="AM18" s="23" t="str">
        <f t="shared" si="5"/>
        <v/>
      </c>
      <c r="AN18" s="23" t="str">
        <f t="shared" si="5"/>
        <v/>
      </c>
      <c r="AO18" s="23" t="str">
        <f t="shared" si="5"/>
        <v/>
      </c>
      <c r="AP18" s="23" t="str">
        <f t="shared" si="5"/>
        <v/>
      </c>
      <c r="AQ18" s="23" t="str">
        <f t="shared" si="3"/>
        <v/>
      </c>
      <c r="AR18" s="23" t="str">
        <f t="shared" si="3"/>
        <v/>
      </c>
      <c r="AS18" s="23" t="str">
        <f t="shared" si="3"/>
        <v/>
      </c>
      <c r="AT18" s="23" t="str">
        <f t="shared" si="3"/>
        <v/>
      </c>
      <c r="AU18" s="23" t="str">
        <f t="shared" si="3"/>
        <v/>
      </c>
      <c r="AV18" s="23" t="str">
        <f t="shared" si="3"/>
        <v/>
      </c>
      <c r="AW18" s="23" t="str">
        <f t="shared" si="3"/>
        <v/>
      </c>
    </row>
    <row r="19" spans="1:49" x14ac:dyDescent="0.35">
      <c r="A19" s="50" t="s">
        <v>23</v>
      </c>
      <c r="B19" s="29" t="s">
        <v>8</v>
      </c>
      <c r="C19" s="29" t="s">
        <v>12</v>
      </c>
      <c r="D19" s="30">
        <v>45009</v>
      </c>
      <c r="E19" s="31">
        <v>15</v>
      </c>
      <c r="F19" s="32">
        <f t="shared" si="2"/>
        <v>45030</v>
      </c>
      <c r="G19" s="33"/>
      <c r="H19" s="46" t="s">
        <v>4</v>
      </c>
      <c r="I19" s="35">
        <v>0</v>
      </c>
      <c r="J19" s="35"/>
      <c r="K19" s="3" t="str">
        <f t="shared" si="4"/>
        <v/>
      </c>
      <c r="L19" s="3" t="str">
        <f t="shared" si="4"/>
        <v/>
      </c>
      <c r="M19" s="3" t="str">
        <f t="shared" si="4"/>
        <v/>
      </c>
      <c r="N19" s="23" t="str">
        <f t="shared" si="4"/>
        <v/>
      </c>
      <c r="O19" s="23" t="str">
        <f t="shared" si="4"/>
        <v/>
      </c>
      <c r="P19" s="23" t="str">
        <f t="shared" si="4"/>
        <v/>
      </c>
      <c r="Q19" s="23" t="str">
        <f t="shared" si="4"/>
        <v>u</v>
      </c>
      <c r="R19" s="23" t="str">
        <f t="shared" si="4"/>
        <v/>
      </c>
      <c r="S19" s="23" t="str">
        <f t="shared" si="4"/>
        <v/>
      </c>
      <c r="T19" s="23" t="str">
        <f t="shared" si="4"/>
        <v/>
      </c>
      <c r="U19" s="23" t="str">
        <f t="shared" si="4"/>
        <v/>
      </c>
      <c r="V19" s="23" t="str">
        <f t="shared" si="4"/>
        <v/>
      </c>
      <c r="W19" s="23" t="str">
        <f t="shared" si="4"/>
        <v/>
      </c>
      <c r="X19" s="23" t="str">
        <f t="shared" si="4"/>
        <v/>
      </c>
      <c r="Y19" s="23" t="str">
        <f t="shared" si="4"/>
        <v/>
      </c>
      <c r="Z19" s="23" t="str">
        <f t="shared" si="4"/>
        <v/>
      </c>
      <c r="AA19" s="23" t="str">
        <f t="shared" si="5"/>
        <v/>
      </c>
      <c r="AB19" s="23" t="str">
        <f t="shared" si="5"/>
        <v/>
      </c>
      <c r="AC19" s="23" t="str">
        <f t="shared" si="5"/>
        <v/>
      </c>
      <c r="AD19" s="23" t="str">
        <f t="shared" si="5"/>
        <v/>
      </c>
      <c r="AE19" s="23" t="str">
        <f t="shared" si="5"/>
        <v/>
      </c>
      <c r="AF19" s="23" t="str">
        <f t="shared" si="5"/>
        <v/>
      </c>
      <c r="AG19" s="23" t="str">
        <f t="shared" si="5"/>
        <v/>
      </c>
      <c r="AH19" s="23" t="str">
        <f t="shared" si="5"/>
        <v/>
      </c>
      <c r="AI19" s="23" t="str">
        <f t="shared" si="5"/>
        <v/>
      </c>
      <c r="AJ19" s="23" t="str">
        <f t="shared" si="5"/>
        <v/>
      </c>
      <c r="AK19" s="23" t="str">
        <f t="shared" si="5"/>
        <v/>
      </c>
      <c r="AL19" s="23" t="str">
        <f t="shared" si="5"/>
        <v/>
      </c>
      <c r="AM19" s="23" t="str">
        <f t="shared" si="5"/>
        <v/>
      </c>
      <c r="AN19" s="23" t="str">
        <f t="shared" si="5"/>
        <v/>
      </c>
      <c r="AO19" s="23" t="str">
        <f t="shared" si="5"/>
        <v/>
      </c>
      <c r="AP19" s="23" t="str">
        <f t="shared" si="5"/>
        <v/>
      </c>
      <c r="AQ19" s="23" t="str">
        <f t="shared" si="3"/>
        <v/>
      </c>
      <c r="AR19" s="23" t="str">
        <f t="shared" si="3"/>
        <v/>
      </c>
      <c r="AS19" s="23" t="str">
        <f t="shared" si="3"/>
        <v/>
      </c>
      <c r="AT19" s="23" t="str">
        <f t="shared" si="3"/>
        <v/>
      </c>
      <c r="AU19" s="23" t="str">
        <f t="shared" si="3"/>
        <v/>
      </c>
      <c r="AV19" s="23" t="str">
        <f t="shared" si="3"/>
        <v/>
      </c>
      <c r="AW19" s="23" t="str">
        <f t="shared" si="3"/>
        <v/>
      </c>
    </row>
    <row r="20" spans="1:49" x14ac:dyDescent="0.35">
      <c r="A20" s="50" t="s">
        <v>23</v>
      </c>
      <c r="B20" s="29"/>
      <c r="C20" s="29"/>
      <c r="D20" s="30">
        <f>+F19</f>
        <v>45030</v>
      </c>
      <c r="E20" s="31">
        <v>15</v>
      </c>
      <c r="F20" s="32">
        <f t="shared" si="2"/>
        <v>45051</v>
      </c>
      <c r="G20" s="33"/>
      <c r="H20" s="46" t="s">
        <v>27</v>
      </c>
      <c r="I20" s="35">
        <v>0</v>
      </c>
      <c r="J20" s="35"/>
      <c r="K20" s="3" t="str">
        <f t="shared" si="4"/>
        <v/>
      </c>
      <c r="L20" s="3" t="str">
        <f t="shared" si="4"/>
        <v/>
      </c>
      <c r="M20" s="3" t="str">
        <f t="shared" si="4"/>
        <v/>
      </c>
      <c r="N20" s="23" t="str">
        <f t="shared" si="4"/>
        <v/>
      </c>
      <c r="O20" s="23" t="str">
        <f t="shared" si="4"/>
        <v/>
      </c>
      <c r="P20" s="23" t="str">
        <f t="shared" si="4"/>
        <v/>
      </c>
      <c r="Q20" s="23" t="str">
        <f t="shared" si="4"/>
        <v/>
      </c>
      <c r="R20" s="23" t="str">
        <f t="shared" si="4"/>
        <v/>
      </c>
      <c r="S20" s="23" t="str">
        <f t="shared" si="4"/>
        <v/>
      </c>
      <c r="T20" s="23" t="str">
        <f t="shared" si="4"/>
        <v>u</v>
      </c>
      <c r="U20" s="23" t="str">
        <f t="shared" si="4"/>
        <v/>
      </c>
      <c r="V20" s="23" t="str">
        <f t="shared" si="4"/>
        <v/>
      </c>
      <c r="W20" s="23" t="str">
        <f t="shared" si="4"/>
        <v/>
      </c>
      <c r="X20" s="23" t="str">
        <f t="shared" si="4"/>
        <v/>
      </c>
      <c r="Y20" s="23" t="str">
        <f t="shared" si="4"/>
        <v/>
      </c>
      <c r="Z20" s="23" t="str">
        <f t="shared" si="4"/>
        <v/>
      </c>
      <c r="AA20" s="23" t="str">
        <f t="shared" si="5"/>
        <v/>
      </c>
      <c r="AB20" s="23" t="str">
        <f t="shared" si="5"/>
        <v/>
      </c>
      <c r="AC20" s="23" t="str">
        <f t="shared" si="5"/>
        <v/>
      </c>
      <c r="AD20" s="23" t="str">
        <f t="shared" si="5"/>
        <v/>
      </c>
      <c r="AE20" s="23" t="str">
        <f t="shared" si="5"/>
        <v/>
      </c>
      <c r="AF20" s="23" t="str">
        <f t="shared" si="5"/>
        <v/>
      </c>
      <c r="AG20" s="23" t="str">
        <f t="shared" si="5"/>
        <v/>
      </c>
      <c r="AH20" s="23" t="str">
        <f t="shared" si="5"/>
        <v/>
      </c>
      <c r="AI20" s="23" t="str">
        <f t="shared" si="5"/>
        <v/>
      </c>
      <c r="AJ20" s="23" t="str">
        <f t="shared" si="5"/>
        <v/>
      </c>
      <c r="AK20" s="23" t="str">
        <f t="shared" si="5"/>
        <v/>
      </c>
      <c r="AL20" s="23" t="str">
        <f t="shared" si="5"/>
        <v/>
      </c>
      <c r="AM20" s="23" t="str">
        <f t="shared" si="5"/>
        <v/>
      </c>
      <c r="AN20" s="23" t="str">
        <f t="shared" si="5"/>
        <v/>
      </c>
      <c r="AO20" s="23" t="str">
        <f t="shared" si="5"/>
        <v/>
      </c>
      <c r="AP20" s="23" t="str">
        <f t="shared" si="5"/>
        <v/>
      </c>
      <c r="AQ20" s="23" t="str">
        <f t="shared" si="3"/>
        <v/>
      </c>
      <c r="AR20" s="23" t="str">
        <f t="shared" si="3"/>
        <v/>
      </c>
      <c r="AS20" s="23" t="str">
        <f t="shared" si="3"/>
        <v/>
      </c>
      <c r="AT20" s="23" t="str">
        <f t="shared" si="3"/>
        <v/>
      </c>
      <c r="AU20" s="23" t="str">
        <f t="shared" si="3"/>
        <v/>
      </c>
      <c r="AV20" s="23" t="str">
        <f t="shared" si="3"/>
        <v/>
      </c>
      <c r="AW20" s="23" t="str">
        <f t="shared" si="3"/>
        <v/>
      </c>
    </row>
    <row r="21" spans="1:49" x14ac:dyDescent="0.35">
      <c r="A21" s="50" t="s">
        <v>23</v>
      </c>
      <c r="B21" s="29" t="s">
        <v>9</v>
      </c>
      <c r="C21" s="29" t="s">
        <v>14</v>
      </c>
      <c r="D21" s="30">
        <f>+F20</f>
        <v>45051</v>
      </c>
      <c r="E21" s="31">
        <v>15</v>
      </c>
      <c r="F21" s="32">
        <f t="shared" si="2"/>
        <v>45072</v>
      </c>
      <c r="G21" s="33"/>
      <c r="H21" s="46" t="s">
        <v>4</v>
      </c>
      <c r="I21" s="35">
        <v>0</v>
      </c>
      <c r="J21" s="35"/>
      <c r="K21" s="3" t="str">
        <f t="shared" si="4"/>
        <v/>
      </c>
      <c r="L21" s="3" t="str">
        <f t="shared" si="4"/>
        <v/>
      </c>
      <c r="M21" s="3" t="str">
        <f t="shared" si="4"/>
        <v/>
      </c>
      <c r="N21" s="23" t="str">
        <f t="shared" si="4"/>
        <v/>
      </c>
      <c r="O21" s="23" t="str">
        <f t="shared" si="4"/>
        <v/>
      </c>
      <c r="P21" s="23" t="str">
        <f t="shared" si="4"/>
        <v/>
      </c>
      <c r="Q21" s="23" t="str">
        <f t="shared" si="4"/>
        <v/>
      </c>
      <c r="R21" s="23" t="str">
        <f t="shared" si="4"/>
        <v/>
      </c>
      <c r="S21" s="23" t="str">
        <f t="shared" si="4"/>
        <v/>
      </c>
      <c r="T21" s="23" t="str">
        <f t="shared" si="4"/>
        <v/>
      </c>
      <c r="U21" s="23" t="str">
        <f t="shared" si="4"/>
        <v/>
      </c>
      <c r="V21" s="23" t="str">
        <f t="shared" si="4"/>
        <v/>
      </c>
      <c r="W21" s="23" t="str">
        <f t="shared" si="4"/>
        <v>u</v>
      </c>
      <c r="X21" s="23" t="str">
        <f t="shared" si="4"/>
        <v/>
      </c>
      <c r="Y21" s="23" t="str">
        <f t="shared" si="4"/>
        <v/>
      </c>
      <c r="Z21" s="23" t="str">
        <f t="shared" si="4"/>
        <v/>
      </c>
      <c r="AA21" s="23" t="str">
        <f t="shared" si="5"/>
        <v/>
      </c>
      <c r="AB21" s="23" t="str">
        <f t="shared" si="5"/>
        <v/>
      </c>
      <c r="AC21" s="23" t="str">
        <f t="shared" si="5"/>
        <v/>
      </c>
      <c r="AD21" s="23" t="str">
        <f t="shared" si="5"/>
        <v/>
      </c>
      <c r="AE21" s="23" t="str">
        <f t="shared" si="5"/>
        <v/>
      </c>
      <c r="AF21" s="23" t="str">
        <f t="shared" si="5"/>
        <v/>
      </c>
      <c r="AG21" s="23" t="str">
        <f t="shared" si="5"/>
        <v/>
      </c>
      <c r="AH21" s="23" t="str">
        <f t="shared" si="5"/>
        <v/>
      </c>
      <c r="AI21" s="23" t="str">
        <f t="shared" si="5"/>
        <v/>
      </c>
      <c r="AJ21" s="23" t="str">
        <f t="shared" si="5"/>
        <v/>
      </c>
      <c r="AK21" s="23" t="str">
        <f t="shared" si="5"/>
        <v/>
      </c>
      <c r="AL21" s="23" t="str">
        <f t="shared" si="5"/>
        <v/>
      </c>
      <c r="AM21" s="23" t="str">
        <f t="shared" si="5"/>
        <v/>
      </c>
      <c r="AN21" s="23" t="str">
        <f t="shared" si="5"/>
        <v/>
      </c>
      <c r="AO21" s="23" t="str">
        <f t="shared" si="5"/>
        <v/>
      </c>
      <c r="AP21" s="23" t="str">
        <f t="shared" si="5"/>
        <v/>
      </c>
      <c r="AQ21" s="23" t="str">
        <f t="shared" si="3"/>
        <v/>
      </c>
      <c r="AR21" s="23" t="str">
        <f t="shared" si="3"/>
        <v/>
      </c>
      <c r="AS21" s="23" t="str">
        <f t="shared" si="3"/>
        <v/>
      </c>
      <c r="AT21" s="23" t="str">
        <f t="shared" si="3"/>
        <v/>
      </c>
      <c r="AU21" s="23" t="str">
        <f t="shared" si="3"/>
        <v/>
      </c>
      <c r="AV21" s="23" t="str">
        <f t="shared" si="3"/>
        <v/>
      </c>
      <c r="AW21" s="23" t="str">
        <f t="shared" si="3"/>
        <v/>
      </c>
    </row>
    <row r="22" spans="1:49" x14ac:dyDescent="0.35">
      <c r="A22" s="50" t="s">
        <v>23</v>
      </c>
      <c r="B22" s="29" t="s">
        <v>10</v>
      </c>
      <c r="C22" s="29" t="s">
        <v>13</v>
      </c>
      <c r="D22" s="30">
        <f>+F21</f>
        <v>45072</v>
      </c>
      <c r="E22" s="31">
        <v>15</v>
      </c>
      <c r="F22" s="32">
        <f t="shared" si="2"/>
        <v>45093</v>
      </c>
      <c r="G22" s="33"/>
      <c r="H22" s="47"/>
      <c r="I22" s="35">
        <v>0</v>
      </c>
      <c r="J22" s="35"/>
      <c r="K22" s="3" t="str">
        <f t="shared" si="4"/>
        <v/>
      </c>
      <c r="L22" s="3" t="str">
        <f t="shared" si="4"/>
        <v/>
      </c>
      <c r="M22" s="3" t="str">
        <f t="shared" si="4"/>
        <v/>
      </c>
      <c r="N22" s="23" t="str">
        <f t="shared" si="4"/>
        <v/>
      </c>
      <c r="O22" s="23" t="str">
        <f t="shared" si="4"/>
        <v/>
      </c>
      <c r="P22" s="23" t="str">
        <f t="shared" si="4"/>
        <v/>
      </c>
      <c r="Q22" s="23" t="str">
        <f t="shared" si="4"/>
        <v/>
      </c>
      <c r="R22" s="23" t="str">
        <f t="shared" si="4"/>
        <v/>
      </c>
      <c r="S22" s="23" t="str">
        <f t="shared" si="4"/>
        <v/>
      </c>
      <c r="T22" s="23" t="str">
        <f t="shared" si="4"/>
        <v/>
      </c>
      <c r="U22" s="23" t="str">
        <f t="shared" si="4"/>
        <v/>
      </c>
      <c r="V22" s="23" t="str">
        <f t="shared" si="4"/>
        <v/>
      </c>
      <c r="W22" s="23" t="str">
        <f t="shared" si="4"/>
        <v/>
      </c>
      <c r="X22" s="23" t="str">
        <f t="shared" si="4"/>
        <v/>
      </c>
      <c r="Y22" s="23" t="str">
        <f t="shared" si="4"/>
        <v/>
      </c>
      <c r="Z22" s="23" t="str">
        <f t="shared" si="4"/>
        <v>u</v>
      </c>
      <c r="AA22" s="23" t="str">
        <f t="shared" si="5"/>
        <v/>
      </c>
      <c r="AB22" s="23" t="str">
        <f t="shared" si="5"/>
        <v/>
      </c>
      <c r="AC22" s="23" t="str">
        <f t="shared" si="5"/>
        <v/>
      </c>
      <c r="AD22" s="23" t="str">
        <f t="shared" si="5"/>
        <v/>
      </c>
      <c r="AE22" s="23" t="str">
        <f t="shared" si="5"/>
        <v/>
      </c>
      <c r="AF22" s="23" t="str">
        <f t="shared" si="5"/>
        <v/>
      </c>
      <c r="AG22" s="23" t="str">
        <f t="shared" si="5"/>
        <v/>
      </c>
      <c r="AH22" s="23" t="str">
        <f t="shared" si="5"/>
        <v/>
      </c>
      <c r="AI22" s="23" t="str">
        <f t="shared" si="5"/>
        <v/>
      </c>
      <c r="AJ22" s="23" t="str">
        <f t="shared" si="5"/>
        <v/>
      </c>
      <c r="AK22" s="23" t="str">
        <f t="shared" si="5"/>
        <v/>
      </c>
      <c r="AL22" s="23" t="str">
        <f t="shared" si="5"/>
        <v/>
      </c>
      <c r="AM22" s="23" t="str">
        <f t="shared" si="5"/>
        <v/>
      </c>
      <c r="AN22" s="23" t="str">
        <f t="shared" si="5"/>
        <v/>
      </c>
      <c r="AO22" s="23" t="str">
        <f t="shared" si="5"/>
        <v/>
      </c>
      <c r="AP22" s="23" t="str">
        <f t="shared" si="5"/>
        <v/>
      </c>
      <c r="AQ22" s="23" t="str">
        <f t="shared" si="3"/>
        <v/>
      </c>
      <c r="AR22" s="23" t="str">
        <f t="shared" si="3"/>
        <v/>
      </c>
      <c r="AS22" s="23" t="str">
        <f t="shared" si="3"/>
        <v/>
      </c>
      <c r="AT22" s="23" t="str">
        <f t="shared" si="3"/>
        <v/>
      </c>
      <c r="AU22" s="23" t="str">
        <f t="shared" si="3"/>
        <v/>
      </c>
      <c r="AV22" s="23" t="str">
        <f t="shared" si="3"/>
        <v/>
      </c>
      <c r="AW22" s="23" t="str">
        <f t="shared" si="3"/>
        <v/>
      </c>
    </row>
    <row r="23" spans="1:49" x14ac:dyDescent="0.35">
      <c r="A23" s="29"/>
      <c r="B23" s="29"/>
      <c r="C23" s="29"/>
      <c r="D23" s="38"/>
      <c r="E23" s="38"/>
      <c r="F23" s="39"/>
      <c r="G23" s="40"/>
      <c r="H23" s="47"/>
      <c r="I23" s="41"/>
      <c r="J23" s="35"/>
      <c r="K23" s="3" t="str">
        <f t="shared" si="4"/>
        <v/>
      </c>
      <c r="L23" s="3" t="str">
        <f t="shared" si="4"/>
        <v/>
      </c>
      <c r="M23" s="3" t="str">
        <f t="shared" si="4"/>
        <v/>
      </c>
      <c r="N23" s="23" t="str">
        <f t="shared" si="4"/>
        <v/>
      </c>
      <c r="O23" s="23" t="str">
        <f t="shared" si="4"/>
        <v/>
      </c>
      <c r="P23" s="23" t="str">
        <f t="shared" si="4"/>
        <v/>
      </c>
      <c r="Q23" s="23" t="str">
        <f t="shared" si="4"/>
        <v/>
      </c>
      <c r="R23" s="23" t="str">
        <f t="shared" si="4"/>
        <v/>
      </c>
      <c r="S23" s="23" t="str">
        <f t="shared" si="4"/>
        <v/>
      </c>
      <c r="T23" s="23" t="str">
        <f t="shared" si="4"/>
        <v/>
      </c>
      <c r="U23" s="23" t="str">
        <f t="shared" si="4"/>
        <v/>
      </c>
      <c r="V23" s="23" t="str">
        <f t="shared" si="4"/>
        <v/>
      </c>
      <c r="W23" s="23" t="str">
        <f t="shared" si="4"/>
        <v/>
      </c>
      <c r="X23" s="23" t="str">
        <f t="shared" si="4"/>
        <v/>
      </c>
      <c r="Y23" s="23" t="str">
        <f t="shared" si="4"/>
        <v/>
      </c>
      <c r="Z23" s="23" t="str">
        <f t="shared" si="4"/>
        <v/>
      </c>
      <c r="AA23" s="23" t="str">
        <f t="shared" si="5"/>
        <v/>
      </c>
      <c r="AB23" s="23" t="str">
        <f t="shared" si="5"/>
        <v/>
      </c>
      <c r="AC23" s="23" t="str">
        <f t="shared" si="5"/>
        <v/>
      </c>
      <c r="AD23" s="23" t="str">
        <f t="shared" si="5"/>
        <v/>
      </c>
      <c r="AE23" s="23" t="str">
        <f t="shared" si="5"/>
        <v/>
      </c>
      <c r="AF23" s="23" t="str">
        <f t="shared" si="5"/>
        <v/>
      </c>
      <c r="AG23" s="23" t="str">
        <f t="shared" si="5"/>
        <v/>
      </c>
      <c r="AH23" s="23" t="str">
        <f t="shared" si="5"/>
        <v/>
      </c>
      <c r="AI23" s="23" t="str">
        <f t="shared" si="5"/>
        <v/>
      </c>
      <c r="AJ23" s="23" t="str">
        <f t="shared" si="5"/>
        <v/>
      </c>
      <c r="AK23" s="23" t="str">
        <f t="shared" si="5"/>
        <v/>
      </c>
      <c r="AL23" s="23" t="str">
        <f t="shared" si="5"/>
        <v/>
      </c>
      <c r="AM23" s="23" t="str">
        <f t="shared" si="5"/>
        <v/>
      </c>
      <c r="AN23" s="23" t="str">
        <f t="shared" si="5"/>
        <v/>
      </c>
      <c r="AO23" s="23" t="str">
        <f t="shared" si="5"/>
        <v/>
      </c>
      <c r="AP23" s="23" t="str">
        <f t="shared" si="5"/>
        <v/>
      </c>
      <c r="AQ23" s="23" t="str">
        <f t="shared" si="3"/>
        <v/>
      </c>
      <c r="AR23" s="23" t="str">
        <f t="shared" si="3"/>
        <v/>
      </c>
      <c r="AS23" s="23" t="str">
        <f t="shared" si="3"/>
        <v/>
      </c>
      <c r="AT23" s="23" t="str">
        <f t="shared" si="3"/>
        <v/>
      </c>
      <c r="AU23" s="23" t="str">
        <f t="shared" si="3"/>
        <v/>
      </c>
      <c r="AV23" s="23" t="str">
        <f t="shared" si="3"/>
        <v/>
      </c>
      <c r="AW23" s="23" t="str">
        <f t="shared" si="3"/>
        <v/>
      </c>
    </row>
  </sheetData>
  <autoFilter ref="A3:AX23" xr:uid="{383C9D74-3CE4-4A4B-AE65-56E8EE91EC0D}"/>
  <mergeCells count="10">
    <mergeCell ref="AI1:AL1"/>
    <mergeCell ref="AM1:AP1"/>
    <mergeCell ref="AQ1:AT1"/>
    <mergeCell ref="AU1:AX1"/>
    <mergeCell ref="K1:N1"/>
    <mergeCell ref="O1:R1"/>
    <mergeCell ref="S1:V1"/>
    <mergeCell ref="W1:Z1"/>
    <mergeCell ref="AA1:AD1"/>
    <mergeCell ref="AE1:AH1"/>
  </mergeCells>
  <conditionalFormatting sqref="H3:H21">
    <cfRule type="cellIs" dxfId="32" priority="3" operator="equal">
      <formula>"AT RISK"</formula>
    </cfRule>
    <cfRule type="cellIs" dxfId="31" priority="4" operator="equal">
      <formula>"DONE"</formula>
    </cfRule>
    <cfRule type="cellIs" dxfId="30" priority="6" operator="equal">
      <formula>"NOT SARTED"</formula>
    </cfRule>
    <cfRule type="cellIs" dxfId="29" priority="7" operator="equal">
      <formula>"IN PROGRESS"</formula>
    </cfRule>
    <cfRule type="cellIs" dxfId="28" priority="8" operator="equal">
      <formula>"BLOCKED"</formula>
    </cfRule>
  </conditionalFormatting>
  <conditionalFormatting sqref="K4:AW23">
    <cfRule type="expression" dxfId="27" priority="1">
      <formula>AND(K$2&gt;$D4-(WEEKDAY($D4,2)+1),K$2 &lt; $F4,$J4="CP")</formula>
    </cfRule>
    <cfRule type="expression" dxfId="26" priority="2">
      <formula>AND(K$2&gt;$D4-(WEEKDAY($D4,2)+1),K$2 &lt; $F4,$A4="H")</formula>
    </cfRule>
    <cfRule type="expression" dxfId="25" priority="5">
      <formula>AND(K$2&gt;$D4-(WEEKDAY($D4,2)+1),K$2 &lt; $F4)</formula>
    </cfRule>
    <cfRule type="expression" dxfId="24" priority="12">
      <formula>AND($I4&gt;0, K$2 &lt;= ($D4+($F4-$D4)* $I4)-WEEKDAY(($D4+($F4-$D4)*$I4),2)+1, K$2 &gt;= $D4- WEEKDAY($D4, 2)+1)</formula>
    </cfRule>
  </conditionalFormatting>
  <conditionalFormatting sqref="D4:D22">
    <cfRule type="expression" dxfId="23" priority="9">
      <formula>$D4&lt;$C$2</formula>
    </cfRule>
  </conditionalFormatting>
  <conditionalFormatting sqref="A4:J4 A8:I8 J5:J23 B5:I7 A13:I13 B9:I12 A18:I18 B14:I17 B19:I22">
    <cfRule type="expression" dxfId="22" priority="10">
      <formula>$A4="H"</formula>
    </cfRule>
  </conditionalFormatting>
  <pageMargins left="0.7" right="0.7" top="0.75" bottom="0.75" header="0.3" footer="0.3"/>
  <pageSetup paperSize="9" orientation="portrait" r:id="rId1"/>
  <headerFooter>
    <oddFooter>&amp;C&amp;1#&amp;"Calibri"&amp;8&amp;K000000Commercial in Confidence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mHeaderWorkingDays">
                <anchor moveWithCells="1">
                  <from>
                    <xdr:col>5</xdr:col>
                    <xdr:colOff>101600</xdr:colOff>
                    <xdr:row>0</xdr:row>
                    <xdr:rowOff>171450</xdr:rowOff>
                  </from>
                  <to>
                    <xdr:col>6</xdr:col>
                    <xdr:colOff>19050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roupTask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114300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moveGrouping">
                <anchor moveWithCells="1" sizeWithCells="1">
                  <from>
                    <xdr:col>0</xdr:col>
                    <xdr:colOff>6350</xdr:colOff>
                    <xdr:row>0</xdr:row>
                    <xdr:rowOff>177800</xdr:rowOff>
                  </from>
                  <to>
                    <xdr:col>1</xdr:col>
                    <xdr:colOff>101600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3F3E5E-0DCA-4102-9EA6-60F3CB75F067}">
          <x14:formula1>
            <xm:f>lkup!$A:$A</xm:f>
          </x14:formula1>
          <xm:sqref>H3:H21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4E29-ED07-4B5E-841A-11DFF25422A3}">
  <sheetPr codeName="Sheet7"/>
  <dimension ref="A1:AX23"/>
  <sheetViews>
    <sheetView zoomScale="99" zoomScaleNormal="84" workbookViewId="0">
      <pane xSplit="13030" ySplit="1160" topLeftCell="P1" activePane="bottomLeft"/>
      <selection activeCell="H1" sqref="H1:H1048576"/>
      <selection pane="topRight" activeCell="K1" sqref="K1"/>
      <selection pane="bottomLeft" activeCell="H6" sqref="H6"/>
      <selection pane="bottomRight" activeCell="L4" sqref="L4"/>
    </sheetView>
  </sheetViews>
  <sheetFormatPr defaultColWidth="5.6328125" defaultRowHeight="14.5" x14ac:dyDescent="0.35"/>
  <cols>
    <col min="1" max="1" width="4.26953125" bestFit="1" customWidth="1"/>
    <col min="2" max="2" width="17.08984375" customWidth="1"/>
    <col min="3" max="3" width="12.08984375" customWidth="1"/>
    <col min="4" max="4" width="12.7265625" style="6" customWidth="1"/>
    <col min="5" max="5" width="6.6328125" style="6" customWidth="1"/>
    <col min="6" max="6" width="12.7265625" style="8" customWidth="1"/>
    <col min="7" max="7" width="12.7265625" style="9" customWidth="1"/>
    <col min="8" max="8" width="9.81640625" style="43" customWidth="1"/>
    <col min="9" max="9" width="8.54296875" customWidth="1"/>
    <col min="10" max="10" width="5.26953125" customWidth="1"/>
    <col min="11" max="13" width="7.81640625" customWidth="1"/>
    <col min="14" max="50" width="6.81640625" style="25" customWidth="1"/>
  </cols>
  <sheetData>
    <row r="1" spans="1:50" x14ac:dyDescent="0.35">
      <c r="B1" s="19" t="s">
        <v>31</v>
      </c>
      <c r="F1" s="7"/>
      <c r="H1" s="42"/>
      <c r="I1" t="s">
        <v>28</v>
      </c>
      <c r="K1" s="27">
        <f>+K2</f>
        <v>44988</v>
      </c>
      <c r="L1" s="27"/>
      <c r="M1" s="27"/>
      <c r="N1" s="27"/>
      <c r="O1" s="26">
        <f>+P2</f>
        <v>45023</v>
      </c>
      <c r="P1" s="26"/>
      <c r="Q1" s="26"/>
      <c r="R1" s="26"/>
      <c r="S1" s="26">
        <f>+T2</f>
        <v>45051</v>
      </c>
      <c r="T1" s="26"/>
      <c r="U1" s="26"/>
      <c r="V1" s="26"/>
      <c r="W1" s="26">
        <f>+X2</f>
        <v>45079</v>
      </c>
      <c r="X1" s="26"/>
      <c r="Y1" s="26"/>
      <c r="Z1" s="26"/>
      <c r="AA1" s="26">
        <f>+AB2</f>
        <v>45107</v>
      </c>
      <c r="AB1" s="26"/>
      <c r="AC1" s="26"/>
      <c r="AD1" s="26"/>
      <c r="AE1" s="26">
        <f>+AF2</f>
        <v>45135</v>
      </c>
      <c r="AF1" s="26"/>
      <c r="AG1" s="26"/>
      <c r="AH1" s="26"/>
      <c r="AI1" s="26">
        <f>+AJ2</f>
        <v>45163</v>
      </c>
      <c r="AJ1" s="26"/>
      <c r="AK1" s="26"/>
      <c r="AL1" s="26"/>
      <c r="AM1" s="26">
        <f>+AN2</f>
        <v>45191</v>
      </c>
      <c r="AN1" s="26"/>
      <c r="AO1" s="26"/>
      <c r="AP1" s="26"/>
      <c r="AQ1" s="26">
        <f>+AR2</f>
        <v>45219</v>
      </c>
      <c r="AR1" s="26"/>
      <c r="AS1" s="26"/>
      <c r="AT1" s="26"/>
      <c r="AU1" s="26">
        <f>+AV2</f>
        <v>45247</v>
      </c>
      <c r="AV1" s="26"/>
      <c r="AW1" s="26"/>
      <c r="AX1" s="26"/>
    </row>
    <row r="2" spans="1:50" x14ac:dyDescent="0.35">
      <c r="B2" s="19" t="s">
        <v>30</v>
      </c>
      <c r="C2" s="5">
        <v>44995</v>
      </c>
      <c r="G2" s="10"/>
      <c r="I2" s="1" t="s">
        <v>29</v>
      </c>
      <c r="J2" s="1"/>
      <c r="K2" s="18">
        <f>+C2+6-WEEKDAY(C2)-7</f>
        <v>44988</v>
      </c>
      <c r="L2" s="18">
        <f>K2+7</f>
        <v>44995</v>
      </c>
      <c r="M2" s="18">
        <f t="shared" ref="M2:AW2" si="0">L2+7</f>
        <v>45002</v>
      </c>
      <c r="N2" s="20">
        <f t="shared" si="0"/>
        <v>45009</v>
      </c>
      <c r="O2" s="20">
        <f t="shared" si="0"/>
        <v>45016</v>
      </c>
      <c r="P2" s="20">
        <f t="shared" si="0"/>
        <v>45023</v>
      </c>
      <c r="Q2" s="20">
        <f t="shared" si="0"/>
        <v>45030</v>
      </c>
      <c r="R2" s="20">
        <f t="shared" si="0"/>
        <v>45037</v>
      </c>
      <c r="S2" s="20">
        <f t="shared" si="0"/>
        <v>45044</v>
      </c>
      <c r="T2" s="20">
        <f t="shared" si="0"/>
        <v>45051</v>
      </c>
      <c r="U2" s="20">
        <f t="shared" si="0"/>
        <v>45058</v>
      </c>
      <c r="V2" s="20">
        <f t="shared" si="0"/>
        <v>45065</v>
      </c>
      <c r="W2" s="20">
        <f t="shared" si="0"/>
        <v>45072</v>
      </c>
      <c r="X2" s="20">
        <f t="shared" si="0"/>
        <v>45079</v>
      </c>
      <c r="Y2" s="20">
        <f t="shared" si="0"/>
        <v>45086</v>
      </c>
      <c r="Z2" s="20">
        <f t="shared" si="0"/>
        <v>45093</v>
      </c>
      <c r="AA2" s="20">
        <f t="shared" si="0"/>
        <v>45100</v>
      </c>
      <c r="AB2" s="20">
        <f t="shared" si="0"/>
        <v>45107</v>
      </c>
      <c r="AC2" s="20">
        <f t="shared" si="0"/>
        <v>45114</v>
      </c>
      <c r="AD2" s="20">
        <f t="shared" si="0"/>
        <v>45121</v>
      </c>
      <c r="AE2" s="20">
        <f t="shared" si="0"/>
        <v>45128</v>
      </c>
      <c r="AF2" s="20">
        <f t="shared" si="0"/>
        <v>45135</v>
      </c>
      <c r="AG2" s="20">
        <f t="shared" si="0"/>
        <v>45142</v>
      </c>
      <c r="AH2" s="20">
        <f t="shared" si="0"/>
        <v>45149</v>
      </c>
      <c r="AI2" s="20">
        <f t="shared" si="0"/>
        <v>45156</v>
      </c>
      <c r="AJ2" s="20">
        <f t="shared" si="0"/>
        <v>45163</v>
      </c>
      <c r="AK2" s="20">
        <f t="shared" si="0"/>
        <v>45170</v>
      </c>
      <c r="AL2" s="20">
        <f t="shared" si="0"/>
        <v>45177</v>
      </c>
      <c r="AM2" s="20">
        <f t="shared" si="0"/>
        <v>45184</v>
      </c>
      <c r="AN2" s="20">
        <f t="shared" si="0"/>
        <v>45191</v>
      </c>
      <c r="AO2" s="20">
        <f t="shared" si="0"/>
        <v>45198</v>
      </c>
      <c r="AP2" s="20">
        <f t="shared" si="0"/>
        <v>45205</v>
      </c>
      <c r="AQ2" s="20">
        <f t="shared" si="0"/>
        <v>45212</v>
      </c>
      <c r="AR2" s="20">
        <f t="shared" si="0"/>
        <v>45219</v>
      </c>
      <c r="AS2" s="20">
        <f t="shared" si="0"/>
        <v>45226</v>
      </c>
      <c r="AT2" s="20">
        <f t="shared" si="0"/>
        <v>45233</v>
      </c>
      <c r="AU2" s="20">
        <f t="shared" si="0"/>
        <v>45240</v>
      </c>
      <c r="AV2" s="20">
        <f t="shared" si="0"/>
        <v>45247</v>
      </c>
      <c r="AW2" s="20">
        <f t="shared" si="0"/>
        <v>45254</v>
      </c>
      <c r="AX2" s="21"/>
    </row>
    <row r="3" spans="1:50" s="11" customFormat="1" x14ac:dyDescent="0.35">
      <c r="A3" s="11" t="s">
        <v>21</v>
      </c>
      <c r="B3" s="12" t="s">
        <v>7</v>
      </c>
      <c r="C3" s="12" t="s">
        <v>6</v>
      </c>
      <c r="D3" s="13" t="s">
        <v>0</v>
      </c>
      <c r="E3" s="13" t="s">
        <v>32</v>
      </c>
      <c r="F3" s="14" t="s">
        <v>1</v>
      </c>
      <c r="G3" s="15" t="s">
        <v>18</v>
      </c>
      <c r="H3" s="44" t="s">
        <v>26</v>
      </c>
      <c r="I3" s="17" t="s">
        <v>2</v>
      </c>
      <c r="J3" s="28" t="s">
        <v>37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</row>
    <row r="4" spans="1:50" s="4" customFormat="1" x14ac:dyDescent="0.35">
      <c r="A4" s="29" t="s">
        <v>22</v>
      </c>
      <c r="B4" s="29" t="s">
        <v>33</v>
      </c>
      <c r="C4" s="29" t="s">
        <v>14</v>
      </c>
      <c r="D4" s="30">
        <v>44998</v>
      </c>
      <c r="E4" s="31">
        <v>30</v>
      </c>
      <c r="F4" s="32">
        <v>45058</v>
      </c>
      <c r="G4" s="33"/>
      <c r="H4" s="45" t="s">
        <v>4</v>
      </c>
      <c r="I4" s="35">
        <v>0.5</v>
      </c>
      <c r="J4" s="35" t="s">
        <v>37</v>
      </c>
      <c r="K4" s="3" t="str">
        <f t="shared" ref="K4:AW10" si="1">IF(K$2=$F4+7-WEEKDAY($F4,2)-2,"u","")</f>
        <v/>
      </c>
      <c r="L4" s="3" t="str">
        <f t="shared" si="1"/>
        <v/>
      </c>
      <c r="M4" s="3" t="str">
        <f t="shared" si="1"/>
        <v/>
      </c>
      <c r="N4" s="23" t="str">
        <f t="shared" si="1"/>
        <v/>
      </c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23" t="str">
        <f t="shared" si="1"/>
        <v/>
      </c>
      <c r="U4" s="23" t="str">
        <f t="shared" si="1"/>
        <v>u</v>
      </c>
      <c r="V4" s="23" t="str">
        <f t="shared" si="1"/>
        <v/>
      </c>
      <c r="W4" s="23" t="str">
        <f t="shared" si="1"/>
        <v/>
      </c>
      <c r="X4" s="23" t="str">
        <f t="shared" si="1"/>
        <v/>
      </c>
      <c r="Y4" s="23" t="str">
        <f t="shared" si="1"/>
        <v/>
      </c>
      <c r="Z4" s="23" t="str">
        <f t="shared" si="1"/>
        <v/>
      </c>
      <c r="AA4" s="23" t="str">
        <f t="shared" si="1"/>
        <v/>
      </c>
      <c r="AB4" s="23" t="str">
        <f t="shared" si="1"/>
        <v/>
      </c>
      <c r="AC4" s="23" t="str">
        <f t="shared" si="1"/>
        <v/>
      </c>
      <c r="AD4" s="23" t="str">
        <f t="shared" si="1"/>
        <v/>
      </c>
      <c r="AE4" s="23" t="str">
        <f t="shared" si="1"/>
        <v/>
      </c>
      <c r="AF4" s="23" t="str">
        <f t="shared" si="1"/>
        <v/>
      </c>
      <c r="AG4" s="23" t="str">
        <f t="shared" si="1"/>
        <v/>
      </c>
      <c r="AH4" s="23" t="str">
        <f t="shared" si="1"/>
        <v/>
      </c>
      <c r="AI4" s="23" t="str">
        <f t="shared" si="1"/>
        <v/>
      </c>
      <c r="AJ4" s="23" t="str">
        <f t="shared" si="1"/>
        <v/>
      </c>
      <c r="AK4" s="23" t="str">
        <f t="shared" si="1"/>
        <v/>
      </c>
      <c r="AL4" s="23" t="str">
        <f t="shared" si="1"/>
        <v/>
      </c>
      <c r="AM4" s="23" t="str">
        <f t="shared" si="1"/>
        <v/>
      </c>
      <c r="AN4" s="23" t="str">
        <f t="shared" si="1"/>
        <v/>
      </c>
      <c r="AO4" s="23" t="str">
        <f t="shared" si="1"/>
        <v/>
      </c>
      <c r="AP4" s="23" t="str">
        <f t="shared" si="1"/>
        <v/>
      </c>
      <c r="AQ4" s="23" t="str">
        <f t="shared" si="1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4"/>
    </row>
    <row r="5" spans="1:50" x14ac:dyDescent="0.35">
      <c r="A5" s="29" t="s">
        <v>23</v>
      </c>
      <c r="B5" s="29" t="s">
        <v>34</v>
      </c>
      <c r="C5" s="29">
        <v>1</v>
      </c>
      <c r="D5" s="30">
        <v>44998</v>
      </c>
      <c r="E5" s="31">
        <v>10</v>
      </c>
      <c r="F5" s="32">
        <f t="shared" ref="F5:F22" si="2">WORKDAY(D5,E5)</f>
        <v>45012</v>
      </c>
      <c r="G5" s="33"/>
      <c r="H5" s="46" t="s">
        <v>5</v>
      </c>
      <c r="I5" s="35">
        <v>0.5</v>
      </c>
      <c r="J5" s="35" t="s">
        <v>37</v>
      </c>
      <c r="K5" s="3" t="str">
        <f t="shared" si="1"/>
        <v/>
      </c>
      <c r="L5" s="3" t="str">
        <f t="shared" si="1"/>
        <v/>
      </c>
      <c r="M5" s="3" t="str">
        <f t="shared" si="1"/>
        <v/>
      </c>
      <c r="N5" s="23" t="str">
        <f t="shared" si="1"/>
        <v/>
      </c>
      <c r="O5" s="23" t="str">
        <f t="shared" si="1"/>
        <v>u</v>
      </c>
      <c r="P5" s="23" t="str">
        <f t="shared" si="1"/>
        <v/>
      </c>
      <c r="Q5" s="23" t="str">
        <f t="shared" si="1"/>
        <v/>
      </c>
      <c r="R5" s="23" t="str">
        <f t="shared" si="1"/>
        <v/>
      </c>
      <c r="S5" s="23" t="str">
        <f t="shared" si="1"/>
        <v/>
      </c>
      <c r="T5" s="23" t="str">
        <f t="shared" si="1"/>
        <v/>
      </c>
      <c r="U5" s="23" t="str">
        <f t="shared" si="1"/>
        <v/>
      </c>
      <c r="V5" s="23" t="str">
        <f t="shared" si="1"/>
        <v/>
      </c>
      <c r="W5" s="23" t="str">
        <f t="shared" si="1"/>
        <v/>
      </c>
      <c r="X5" s="23" t="str">
        <f t="shared" si="1"/>
        <v/>
      </c>
      <c r="Y5" s="23" t="str">
        <f t="shared" si="1"/>
        <v/>
      </c>
      <c r="Z5" s="23" t="str">
        <f t="shared" si="1"/>
        <v/>
      </c>
      <c r="AA5" s="23" t="str">
        <f t="shared" si="1"/>
        <v/>
      </c>
      <c r="AB5" s="23" t="str">
        <f t="shared" si="1"/>
        <v/>
      </c>
      <c r="AC5" s="23" t="str">
        <f t="shared" si="1"/>
        <v/>
      </c>
      <c r="AD5" s="23" t="str">
        <f t="shared" si="1"/>
        <v/>
      </c>
      <c r="AE5" s="23" t="str">
        <f t="shared" si="1"/>
        <v/>
      </c>
      <c r="AF5" s="23" t="str">
        <f t="shared" si="1"/>
        <v/>
      </c>
      <c r="AG5" s="23" t="str">
        <f t="shared" si="1"/>
        <v/>
      </c>
      <c r="AH5" s="23" t="str">
        <f t="shared" si="1"/>
        <v/>
      </c>
      <c r="AI5" s="23" t="str">
        <f t="shared" si="1"/>
        <v/>
      </c>
      <c r="AJ5" s="23" t="str">
        <f t="shared" si="1"/>
        <v/>
      </c>
      <c r="AK5" s="23" t="str">
        <f t="shared" si="1"/>
        <v/>
      </c>
      <c r="AL5" s="23" t="str">
        <f t="shared" si="1"/>
        <v/>
      </c>
      <c r="AM5" s="23" t="str">
        <f t="shared" si="1"/>
        <v/>
      </c>
      <c r="AN5" s="23" t="str">
        <f t="shared" si="1"/>
        <v/>
      </c>
      <c r="AO5" s="23" t="str">
        <f t="shared" si="1"/>
        <v/>
      </c>
      <c r="AP5" s="23" t="str">
        <f t="shared" si="1"/>
        <v/>
      </c>
      <c r="AQ5" s="23" t="str">
        <f t="shared" si="1"/>
        <v/>
      </c>
      <c r="AR5" s="23" t="str">
        <f t="shared" si="1"/>
        <v/>
      </c>
      <c r="AS5" s="23" t="str">
        <f t="shared" si="1"/>
        <v/>
      </c>
      <c r="AT5" s="23" t="str">
        <f t="shared" si="1"/>
        <v/>
      </c>
      <c r="AU5" s="23" t="str">
        <f t="shared" si="1"/>
        <v/>
      </c>
      <c r="AV5" s="23" t="str">
        <f t="shared" si="1"/>
        <v/>
      </c>
      <c r="AW5" s="23" t="str">
        <f t="shared" si="1"/>
        <v/>
      </c>
    </row>
    <row r="6" spans="1:50" x14ac:dyDescent="0.35">
      <c r="A6" s="29" t="s">
        <v>23</v>
      </c>
      <c r="B6" s="29" t="s">
        <v>35</v>
      </c>
      <c r="C6" s="29">
        <v>2</v>
      </c>
      <c r="D6" s="30">
        <f>+F5</f>
        <v>45012</v>
      </c>
      <c r="E6" s="31">
        <v>10</v>
      </c>
      <c r="F6" s="32">
        <v>45045</v>
      </c>
      <c r="G6" s="33"/>
      <c r="H6" s="46" t="s">
        <v>27</v>
      </c>
      <c r="I6" s="35">
        <v>0.5</v>
      </c>
      <c r="J6" s="35" t="s">
        <v>37</v>
      </c>
      <c r="K6" s="3" t="str">
        <f t="shared" si="1"/>
        <v/>
      </c>
      <c r="L6" s="3" t="str">
        <f t="shared" si="1"/>
        <v/>
      </c>
      <c r="M6" s="3" t="str">
        <f t="shared" si="1"/>
        <v/>
      </c>
      <c r="N6" s="23" t="str">
        <f t="shared" si="1"/>
        <v/>
      </c>
      <c r="O6" s="23" t="str">
        <f t="shared" si="1"/>
        <v/>
      </c>
      <c r="P6" s="23" t="str">
        <f t="shared" si="1"/>
        <v/>
      </c>
      <c r="Q6" s="23" t="str">
        <f t="shared" si="1"/>
        <v/>
      </c>
      <c r="R6" s="23" t="str">
        <f t="shared" si="1"/>
        <v/>
      </c>
      <c r="S6" s="23" t="str">
        <f t="shared" si="1"/>
        <v>u</v>
      </c>
      <c r="T6" s="23" t="str">
        <f t="shared" si="1"/>
        <v/>
      </c>
      <c r="U6" s="23" t="str">
        <f t="shared" si="1"/>
        <v/>
      </c>
      <c r="V6" s="23" t="str">
        <f t="shared" si="1"/>
        <v/>
      </c>
      <c r="W6" s="23" t="str">
        <f t="shared" si="1"/>
        <v/>
      </c>
      <c r="X6" s="23" t="str">
        <f t="shared" si="1"/>
        <v/>
      </c>
      <c r="Y6" s="23" t="str">
        <f t="shared" si="1"/>
        <v/>
      </c>
      <c r="Z6" s="23" t="str">
        <f t="shared" si="1"/>
        <v/>
      </c>
      <c r="AA6" s="23" t="str">
        <f t="shared" si="1"/>
        <v/>
      </c>
      <c r="AB6" s="23" t="str">
        <f t="shared" si="1"/>
        <v/>
      </c>
      <c r="AC6" s="23" t="str">
        <f t="shared" si="1"/>
        <v/>
      </c>
      <c r="AD6" s="23" t="str">
        <f t="shared" si="1"/>
        <v/>
      </c>
      <c r="AE6" s="23" t="str">
        <f t="shared" si="1"/>
        <v/>
      </c>
      <c r="AF6" s="23" t="str">
        <f t="shared" si="1"/>
        <v/>
      </c>
      <c r="AG6" s="23" t="str">
        <f t="shared" si="1"/>
        <v/>
      </c>
      <c r="AH6" s="23" t="str">
        <f t="shared" si="1"/>
        <v/>
      </c>
      <c r="AI6" s="23" t="str">
        <f t="shared" si="1"/>
        <v/>
      </c>
      <c r="AJ6" s="23" t="str">
        <f t="shared" si="1"/>
        <v/>
      </c>
      <c r="AK6" s="23" t="str">
        <f t="shared" si="1"/>
        <v/>
      </c>
      <c r="AL6" s="23" t="str">
        <f t="shared" si="1"/>
        <v/>
      </c>
      <c r="AM6" s="23" t="str">
        <f t="shared" si="1"/>
        <v/>
      </c>
      <c r="AN6" s="23" t="str">
        <f t="shared" si="1"/>
        <v/>
      </c>
      <c r="AO6" s="23" t="str">
        <f t="shared" si="1"/>
        <v/>
      </c>
      <c r="AP6" s="23" t="str">
        <f t="shared" si="1"/>
        <v/>
      </c>
      <c r="AQ6" s="23" t="str">
        <f t="shared" si="1"/>
        <v/>
      </c>
      <c r="AR6" s="23" t="str">
        <f t="shared" si="1"/>
        <v/>
      </c>
      <c r="AS6" s="23" t="str">
        <f t="shared" si="1"/>
        <v/>
      </c>
      <c r="AT6" s="23" t="str">
        <f t="shared" si="1"/>
        <v/>
      </c>
      <c r="AU6" s="23" t="str">
        <f t="shared" si="1"/>
        <v/>
      </c>
      <c r="AV6" s="23" t="str">
        <f t="shared" si="1"/>
        <v/>
      </c>
      <c r="AW6" s="23" t="str">
        <f t="shared" si="1"/>
        <v/>
      </c>
    </row>
    <row r="7" spans="1:50" x14ac:dyDescent="0.35">
      <c r="A7" s="29" t="s">
        <v>23</v>
      </c>
      <c r="B7" s="29" t="s">
        <v>36</v>
      </c>
      <c r="C7" s="29">
        <v>3</v>
      </c>
      <c r="D7" s="30">
        <f>+F6</f>
        <v>45045</v>
      </c>
      <c r="E7" s="31">
        <v>10</v>
      </c>
      <c r="F7" s="32">
        <f t="shared" si="2"/>
        <v>45058</v>
      </c>
      <c r="G7" s="33"/>
      <c r="H7" s="46" t="s">
        <v>4</v>
      </c>
      <c r="I7" s="35">
        <v>0.5</v>
      </c>
      <c r="J7" s="35"/>
      <c r="K7" s="3" t="str">
        <f t="shared" si="1"/>
        <v/>
      </c>
      <c r="L7" s="3" t="str">
        <f t="shared" si="1"/>
        <v/>
      </c>
      <c r="M7" s="3" t="str">
        <f t="shared" si="1"/>
        <v/>
      </c>
      <c r="N7" s="23" t="str">
        <f t="shared" si="1"/>
        <v/>
      </c>
      <c r="O7" s="23" t="str">
        <f t="shared" si="1"/>
        <v/>
      </c>
      <c r="P7" s="23" t="str">
        <f t="shared" si="1"/>
        <v/>
      </c>
      <c r="Q7" s="23" t="str">
        <f t="shared" si="1"/>
        <v/>
      </c>
      <c r="R7" s="23" t="str">
        <f t="shared" si="1"/>
        <v/>
      </c>
      <c r="S7" s="23" t="str">
        <f t="shared" si="1"/>
        <v/>
      </c>
      <c r="T7" s="23" t="str">
        <f t="shared" si="1"/>
        <v/>
      </c>
      <c r="U7" s="23" t="str">
        <f t="shared" si="1"/>
        <v>u</v>
      </c>
      <c r="V7" s="23" t="str">
        <f t="shared" si="1"/>
        <v/>
      </c>
      <c r="W7" s="23" t="str">
        <f t="shared" si="1"/>
        <v/>
      </c>
      <c r="X7" s="23" t="str">
        <f t="shared" si="1"/>
        <v/>
      </c>
      <c r="Y7" s="23" t="str">
        <f t="shared" si="1"/>
        <v/>
      </c>
      <c r="Z7" s="23" t="str">
        <f t="shared" si="1"/>
        <v/>
      </c>
      <c r="AA7" s="23" t="str">
        <f t="shared" si="1"/>
        <v/>
      </c>
      <c r="AB7" s="23" t="str">
        <f t="shared" si="1"/>
        <v/>
      </c>
      <c r="AC7" s="23" t="str">
        <f t="shared" si="1"/>
        <v/>
      </c>
      <c r="AD7" s="23" t="str">
        <f t="shared" si="1"/>
        <v/>
      </c>
      <c r="AE7" s="23" t="str">
        <f t="shared" si="1"/>
        <v/>
      </c>
      <c r="AF7" s="23" t="str">
        <f t="shared" si="1"/>
        <v/>
      </c>
      <c r="AG7" s="23" t="str">
        <f t="shared" si="1"/>
        <v/>
      </c>
      <c r="AH7" s="23" t="str">
        <f t="shared" si="1"/>
        <v/>
      </c>
      <c r="AI7" s="23" t="str">
        <f t="shared" si="1"/>
        <v/>
      </c>
      <c r="AJ7" s="23" t="str">
        <f t="shared" si="1"/>
        <v/>
      </c>
      <c r="AK7" s="23" t="str">
        <f t="shared" si="1"/>
        <v/>
      </c>
      <c r="AL7" s="23" t="str">
        <f t="shared" si="1"/>
        <v/>
      </c>
      <c r="AM7" s="23" t="str">
        <f t="shared" si="1"/>
        <v/>
      </c>
      <c r="AN7" s="23" t="str">
        <f t="shared" si="1"/>
        <v/>
      </c>
      <c r="AO7" s="23" t="str">
        <f t="shared" si="1"/>
        <v/>
      </c>
      <c r="AP7" s="23" t="str">
        <f t="shared" si="1"/>
        <v/>
      </c>
      <c r="AQ7" s="23" t="str">
        <f t="shared" si="1"/>
        <v/>
      </c>
      <c r="AR7" s="23" t="str">
        <f t="shared" si="1"/>
        <v/>
      </c>
      <c r="AS7" s="23" t="str">
        <f t="shared" si="1"/>
        <v/>
      </c>
      <c r="AT7" s="23" t="str">
        <f t="shared" si="1"/>
        <v/>
      </c>
      <c r="AU7" s="23" t="str">
        <f t="shared" si="1"/>
        <v/>
      </c>
      <c r="AV7" s="23" t="str">
        <f t="shared" si="1"/>
        <v/>
      </c>
      <c r="AW7" s="23" t="str">
        <f t="shared" si="1"/>
        <v/>
      </c>
    </row>
    <row r="8" spans="1:50" x14ac:dyDescent="0.35">
      <c r="A8" s="29" t="s">
        <v>22</v>
      </c>
      <c r="B8" s="29" t="s">
        <v>15</v>
      </c>
      <c r="C8" s="29" t="s">
        <v>11</v>
      </c>
      <c r="D8" s="30">
        <v>44998</v>
      </c>
      <c r="E8" s="31">
        <v>26</v>
      </c>
      <c r="F8" s="32">
        <v>45077</v>
      </c>
      <c r="G8" s="33"/>
      <c r="H8" s="46" t="s">
        <v>4</v>
      </c>
      <c r="I8" s="35">
        <v>0</v>
      </c>
      <c r="J8" s="35"/>
      <c r="K8" s="3" t="str">
        <f t="shared" si="1"/>
        <v/>
      </c>
      <c r="L8" s="3" t="str">
        <f t="shared" si="1"/>
        <v/>
      </c>
      <c r="M8" s="3" t="str">
        <f t="shared" si="1"/>
        <v/>
      </c>
      <c r="N8" s="23" t="str">
        <f t="shared" si="1"/>
        <v/>
      </c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23" t="str">
        <f t="shared" si="1"/>
        <v/>
      </c>
      <c r="U8" s="23" t="str">
        <f t="shared" si="1"/>
        <v/>
      </c>
      <c r="V8" s="23" t="str">
        <f t="shared" si="1"/>
        <v/>
      </c>
      <c r="W8" s="23" t="str">
        <f t="shared" si="1"/>
        <v/>
      </c>
      <c r="X8" s="23" t="str">
        <f t="shared" si="1"/>
        <v>u</v>
      </c>
      <c r="Y8" s="23" t="str">
        <f t="shared" si="1"/>
        <v/>
      </c>
      <c r="Z8" s="23" t="str">
        <f t="shared" si="1"/>
        <v/>
      </c>
      <c r="AA8" s="23" t="str">
        <f t="shared" si="1"/>
        <v/>
      </c>
      <c r="AB8" s="23" t="str">
        <f t="shared" si="1"/>
        <v/>
      </c>
      <c r="AC8" s="23" t="str">
        <f t="shared" si="1"/>
        <v/>
      </c>
      <c r="AD8" s="23" t="str">
        <f t="shared" si="1"/>
        <v/>
      </c>
      <c r="AE8" s="23" t="str">
        <f t="shared" si="1"/>
        <v/>
      </c>
      <c r="AF8" s="23" t="str">
        <f t="shared" si="1"/>
        <v/>
      </c>
      <c r="AG8" s="23" t="str">
        <f t="shared" si="1"/>
        <v/>
      </c>
      <c r="AH8" s="23" t="str">
        <f t="shared" si="1"/>
        <v/>
      </c>
      <c r="AI8" s="23" t="str">
        <f t="shared" si="1"/>
        <v/>
      </c>
      <c r="AJ8" s="23" t="str">
        <f t="shared" si="1"/>
        <v/>
      </c>
      <c r="AK8" s="23" t="str">
        <f t="shared" si="1"/>
        <v/>
      </c>
      <c r="AL8" s="23" t="str">
        <f t="shared" si="1"/>
        <v/>
      </c>
      <c r="AM8" s="23" t="str">
        <f t="shared" si="1"/>
        <v/>
      </c>
      <c r="AN8" s="23" t="str">
        <f t="shared" si="1"/>
        <v/>
      </c>
      <c r="AO8" s="23" t="str">
        <f t="shared" si="1"/>
        <v/>
      </c>
      <c r="AP8" s="23" t="str">
        <f t="shared" si="1"/>
        <v/>
      </c>
      <c r="AQ8" s="23" t="str">
        <f t="shared" si="1"/>
        <v/>
      </c>
      <c r="AR8" s="23" t="str">
        <f t="shared" si="1"/>
        <v/>
      </c>
      <c r="AS8" s="23" t="str">
        <f t="shared" si="1"/>
        <v/>
      </c>
      <c r="AT8" s="23" t="str">
        <f t="shared" si="1"/>
        <v/>
      </c>
      <c r="AU8" s="23" t="str">
        <f t="shared" si="1"/>
        <v/>
      </c>
      <c r="AV8" s="23" t="str">
        <f t="shared" si="1"/>
        <v/>
      </c>
      <c r="AW8" s="23" t="str">
        <f t="shared" si="1"/>
        <v/>
      </c>
    </row>
    <row r="9" spans="1:50" x14ac:dyDescent="0.35">
      <c r="A9" s="29" t="s">
        <v>23</v>
      </c>
      <c r="B9" s="29" t="s">
        <v>15</v>
      </c>
      <c r="C9" s="29" t="s">
        <v>12</v>
      </c>
      <c r="D9" s="30">
        <v>44998</v>
      </c>
      <c r="E9" s="31">
        <v>1</v>
      </c>
      <c r="F9" s="32">
        <f t="shared" si="2"/>
        <v>44999</v>
      </c>
      <c r="G9" s="33"/>
      <c r="H9" s="46" t="s">
        <v>16</v>
      </c>
      <c r="I9" s="35">
        <v>0</v>
      </c>
      <c r="J9" s="35"/>
      <c r="K9" s="3" t="str">
        <f t="shared" si="1"/>
        <v/>
      </c>
      <c r="L9" s="3" t="str">
        <f t="shared" si="1"/>
        <v/>
      </c>
      <c r="M9" s="3" t="str">
        <f t="shared" si="1"/>
        <v>u</v>
      </c>
      <c r="N9" s="23" t="str">
        <f t="shared" si="1"/>
        <v/>
      </c>
      <c r="O9" s="23" t="str">
        <f t="shared" si="1"/>
        <v/>
      </c>
      <c r="P9" s="23" t="str">
        <f t="shared" si="1"/>
        <v/>
      </c>
      <c r="Q9" s="23" t="str">
        <f t="shared" si="1"/>
        <v/>
      </c>
      <c r="R9" s="23" t="str">
        <f t="shared" si="1"/>
        <v/>
      </c>
      <c r="S9" s="23" t="str">
        <f t="shared" si="1"/>
        <v/>
      </c>
      <c r="T9" s="23" t="str">
        <f t="shared" si="1"/>
        <v/>
      </c>
      <c r="U9" s="23" t="str">
        <f t="shared" si="1"/>
        <v/>
      </c>
      <c r="V9" s="23" t="str">
        <f t="shared" si="1"/>
        <v/>
      </c>
      <c r="W9" s="23" t="str">
        <f t="shared" si="1"/>
        <v/>
      </c>
      <c r="X9" s="23" t="str">
        <f t="shared" si="1"/>
        <v/>
      </c>
      <c r="Y9" s="23" t="str">
        <f t="shared" si="1"/>
        <v/>
      </c>
      <c r="Z9" s="23" t="str">
        <f t="shared" si="1"/>
        <v/>
      </c>
      <c r="AA9" s="23" t="str">
        <f t="shared" si="1"/>
        <v/>
      </c>
      <c r="AB9" s="23" t="str">
        <f t="shared" si="1"/>
        <v/>
      </c>
      <c r="AC9" s="23" t="str">
        <f t="shared" si="1"/>
        <v/>
      </c>
      <c r="AD9" s="23" t="str">
        <f t="shared" si="1"/>
        <v/>
      </c>
      <c r="AE9" s="23" t="str">
        <f t="shared" si="1"/>
        <v/>
      </c>
      <c r="AF9" s="23" t="str">
        <f t="shared" si="1"/>
        <v/>
      </c>
      <c r="AG9" s="23" t="str">
        <f t="shared" si="1"/>
        <v/>
      </c>
      <c r="AH9" s="23" t="str">
        <f t="shared" si="1"/>
        <v/>
      </c>
      <c r="AI9" s="23" t="str">
        <f t="shared" si="1"/>
        <v/>
      </c>
      <c r="AJ9" s="23" t="str">
        <f t="shared" si="1"/>
        <v/>
      </c>
      <c r="AK9" s="23" t="str">
        <f t="shared" si="1"/>
        <v/>
      </c>
      <c r="AL9" s="23" t="str">
        <f t="shared" si="1"/>
        <v/>
      </c>
      <c r="AM9" s="23" t="str">
        <f t="shared" si="1"/>
        <v/>
      </c>
      <c r="AN9" s="23" t="str">
        <f t="shared" si="1"/>
        <v/>
      </c>
      <c r="AO9" s="23" t="str">
        <f t="shared" si="1"/>
        <v/>
      </c>
      <c r="AP9" s="23" t="str">
        <f t="shared" si="1"/>
        <v/>
      </c>
      <c r="AQ9" s="23" t="str">
        <f t="shared" si="1"/>
        <v/>
      </c>
      <c r="AR9" s="23" t="str">
        <f t="shared" si="1"/>
        <v/>
      </c>
      <c r="AS9" s="23" t="str">
        <f t="shared" si="1"/>
        <v/>
      </c>
      <c r="AT9" s="23" t="str">
        <f t="shared" si="1"/>
        <v/>
      </c>
      <c r="AU9" s="23" t="str">
        <f t="shared" si="1"/>
        <v/>
      </c>
      <c r="AV9" s="23" t="str">
        <f t="shared" si="1"/>
        <v/>
      </c>
      <c r="AW9" s="23" t="str">
        <f t="shared" si="1"/>
        <v/>
      </c>
    </row>
    <row r="10" spans="1:50" x14ac:dyDescent="0.35">
      <c r="A10" s="29" t="s">
        <v>23</v>
      </c>
      <c r="B10" s="29" t="s">
        <v>15</v>
      </c>
      <c r="C10" s="29"/>
      <c r="D10" s="30">
        <v>45026</v>
      </c>
      <c r="E10" s="31">
        <v>5</v>
      </c>
      <c r="F10" s="32">
        <f t="shared" si="2"/>
        <v>45033</v>
      </c>
      <c r="G10" s="33"/>
      <c r="H10" s="46" t="s">
        <v>4</v>
      </c>
      <c r="I10" s="35">
        <v>0</v>
      </c>
      <c r="J10" s="35"/>
      <c r="K10" s="3" t="str">
        <f t="shared" si="1"/>
        <v/>
      </c>
      <c r="L10" s="3" t="str">
        <f t="shared" si="1"/>
        <v/>
      </c>
      <c r="M10" s="3" t="str">
        <f t="shared" si="1"/>
        <v/>
      </c>
      <c r="N10" s="23" t="str">
        <f t="shared" si="1"/>
        <v/>
      </c>
      <c r="O10" s="23" t="str">
        <f t="shared" si="1"/>
        <v/>
      </c>
      <c r="P10" s="23" t="str">
        <f t="shared" si="1"/>
        <v/>
      </c>
      <c r="Q10" s="23" t="str">
        <f t="shared" si="1"/>
        <v/>
      </c>
      <c r="R10" s="23" t="str">
        <f t="shared" si="1"/>
        <v>u</v>
      </c>
      <c r="S10" s="23" t="str">
        <f t="shared" si="1"/>
        <v/>
      </c>
      <c r="T10" s="23" t="str">
        <f t="shared" si="1"/>
        <v/>
      </c>
      <c r="U10" s="23" t="str">
        <f t="shared" si="1"/>
        <v/>
      </c>
      <c r="V10" s="23" t="str">
        <f t="shared" si="1"/>
        <v/>
      </c>
      <c r="W10" s="23" t="str">
        <f t="shared" si="1"/>
        <v/>
      </c>
      <c r="X10" s="23" t="str">
        <f t="shared" si="1"/>
        <v/>
      </c>
      <c r="Y10" s="23" t="str">
        <f t="shared" si="1"/>
        <v/>
      </c>
      <c r="Z10" s="23" t="str">
        <f t="shared" si="1"/>
        <v/>
      </c>
      <c r="AA10" s="23" t="str">
        <f t="shared" si="1"/>
        <v/>
      </c>
      <c r="AB10" s="23" t="str">
        <f t="shared" si="1"/>
        <v/>
      </c>
      <c r="AC10" s="23" t="str">
        <f t="shared" si="1"/>
        <v/>
      </c>
      <c r="AD10" s="23" t="str">
        <f t="shared" si="1"/>
        <v/>
      </c>
      <c r="AE10" s="23" t="str">
        <f t="shared" si="1"/>
        <v/>
      </c>
      <c r="AF10" s="23" t="str">
        <f t="shared" ref="AF10:AW23" si="3">IF(AF$2=$F10+7-WEEKDAY($F10,2)-2,"u","")</f>
        <v/>
      </c>
      <c r="AG10" s="23" t="str">
        <f t="shared" si="3"/>
        <v/>
      </c>
      <c r="AH10" s="23" t="str">
        <f t="shared" si="3"/>
        <v/>
      </c>
      <c r="AI10" s="23" t="str">
        <f t="shared" si="3"/>
        <v/>
      </c>
      <c r="AJ10" s="23" t="str">
        <f t="shared" si="3"/>
        <v/>
      </c>
      <c r="AK10" s="23" t="str">
        <f t="shared" si="3"/>
        <v/>
      </c>
      <c r="AL10" s="23" t="str">
        <f t="shared" si="3"/>
        <v/>
      </c>
      <c r="AM10" s="23" t="str">
        <f t="shared" si="3"/>
        <v/>
      </c>
      <c r="AN10" s="23" t="str">
        <f t="shared" si="3"/>
        <v/>
      </c>
      <c r="AO10" s="23" t="str">
        <f t="shared" si="3"/>
        <v/>
      </c>
      <c r="AP10" s="23" t="str">
        <f t="shared" si="3"/>
        <v/>
      </c>
      <c r="AQ10" s="23" t="str">
        <f t="shared" si="3"/>
        <v/>
      </c>
      <c r="AR10" s="23" t="str">
        <f t="shared" si="3"/>
        <v/>
      </c>
      <c r="AS10" s="23" t="str">
        <f t="shared" si="3"/>
        <v/>
      </c>
      <c r="AT10" s="23" t="str">
        <f t="shared" si="3"/>
        <v/>
      </c>
      <c r="AU10" s="23" t="str">
        <f t="shared" si="3"/>
        <v/>
      </c>
      <c r="AV10" s="23" t="str">
        <f t="shared" si="3"/>
        <v/>
      </c>
      <c r="AW10" s="23" t="str">
        <f t="shared" si="3"/>
        <v/>
      </c>
    </row>
    <row r="11" spans="1:50" x14ac:dyDescent="0.35">
      <c r="A11" s="29" t="s">
        <v>23</v>
      </c>
      <c r="B11" s="29" t="s">
        <v>20</v>
      </c>
      <c r="C11" s="29" t="s">
        <v>14</v>
      </c>
      <c r="D11" s="30">
        <v>45048</v>
      </c>
      <c r="E11" s="31">
        <v>5</v>
      </c>
      <c r="F11" s="32">
        <f t="shared" si="2"/>
        <v>45055</v>
      </c>
      <c r="G11" s="33"/>
      <c r="H11" s="46" t="s">
        <v>4</v>
      </c>
      <c r="I11" s="35">
        <v>0</v>
      </c>
      <c r="J11" s="35"/>
      <c r="K11" s="3" t="str">
        <f t="shared" ref="K11:Z23" si="4">IF(K$2=$F11+7-WEEKDAY($F11,2)-2,"u","")</f>
        <v/>
      </c>
      <c r="L11" s="3" t="str">
        <f t="shared" si="4"/>
        <v/>
      </c>
      <c r="M11" s="3" t="str">
        <f t="shared" si="4"/>
        <v/>
      </c>
      <c r="N11" s="23" t="str">
        <f t="shared" si="4"/>
        <v/>
      </c>
      <c r="O11" s="23" t="str">
        <f t="shared" si="4"/>
        <v/>
      </c>
      <c r="P11" s="23" t="str">
        <f t="shared" si="4"/>
        <v/>
      </c>
      <c r="Q11" s="23" t="str">
        <f t="shared" si="4"/>
        <v/>
      </c>
      <c r="R11" s="23" t="str">
        <f t="shared" si="4"/>
        <v/>
      </c>
      <c r="S11" s="23" t="str">
        <f t="shared" si="4"/>
        <v/>
      </c>
      <c r="T11" s="23" t="str">
        <f t="shared" si="4"/>
        <v/>
      </c>
      <c r="U11" s="23" t="str">
        <f t="shared" si="4"/>
        <v>u</v>
      </c>
      <c r="V11" s="23" t="str">
        <f t="shared" si="4"/>
        <v/>
      </c>
      <c r="W11" s="23" t="str">
        <f t="shared" si="4"/>
        <v/>
      </c>
      <c r="X11" s="23" t="str">
        <f t="shared" si="4"/>
        <v/>
      </c>
      <c r="Y11" s="23" t="str">
        <f t="shared" si="4"/>
        <v/>
      </c>
      <c r="Z11" s="23" t="str">
        <f t="shared" si="4"/>
        <v/>
      </c>
      <c r="AA11" s="23" t="str">
        <f t="shared" ref="AA11:AP23" si="5">IF(AA$2=$F11+7-WEEKDAY($F11,2)-2,"u","")</f>
        <v/>
      </c>
      <c r="AB11" s="23" t="str">
        <f t="shared" si="5"/>
        <v/>
      </c>
      <c r="AC11" s="23" t="str">
        <f t="shared" si="5"/>
        <v/>
      </c>
      <c r="AD11" s="23" t="str">
        <f t="shared" si="5"/>
        <v/>
      </c>
      <c r="AE11" s="23" t="str">
        <f t="shared" si="5"/>
        <v/>
      </c>
      <c r="AF11" s="23" t="str">
        <f t="shared" si="5"/>
        <v/>
      </c>
      <c r="AG11" s="23" t="str">
        <f t="shared" si="5"/>
        <v/>
      </c>
      <c r="AH11" s="23" t="str">
        <f t="shared" si="5"/>
        <v/>
      </c>
      <c r="AI11" s="23" t="str">
        <f t="shared" si="5"/>
        <v/>
      </c>
      <c r="AJ11" s="23" t="str">
        <f t="shared" si="5"/>
        <v/>
      </c>
      <c r="AK11" s="23" t="str">
        <f t="shared" si="5"/>
        <v/>
      </c>
      <c r="AL11" s="23" t="str">
        <f t="shared" si="5"/>
        <v/>
      </c>
      <c r="AM11" s="23" t="str">
        <f t="shared" si="5"/>
        <v/>
      </c>
      <c r="AN11" s="23" t="str">
        <f t="shared" si="5"/>
        <v/>
      </c>
      <c r="AO11" s="23" t="str">
        <f t="shared" si="5"/>
        <v/>
      </c>
      <c r="AP11" s="23" t="str">
        <f t="shared" si="5"/>
        <v/>
      </c>
      <c r="AQ11" s="23" t="str">
        <f t="shared" si="3"/>
        <v/>
      </c>
      <c r="AR11" s="23" t="str">
        <f t="shared" si="3"/>
        <v/>
      </c>
      <c r="AS11" s="23" t="str">
        <f t="shared" si="3"/>
        <v/>
      </c>
      <c r="AT11" s="23" t="str">
        <f t="shared" si="3"/>
        <v/>
      </c>
      <c r="AU11" s="23" t="str">
        <f t="shared" si="3"/>
        <v/>
      </c>
      <c r="AV11" s="23" t="str">
        <f t="shared" si="3"/>
        <v/>
      </c>
      <c r="AW11" s="23" t="str">
        <f t="shared" si="3"/>
        <v/>
      </c>
    </row>
    <row r="12" spans="1:50" x14ac:dyDescent="0.35">
      <c r="A12" s="29" t="s">
        <v>23</v>
      </c>
      <c r="B12" s="29" t="s">
        <v>19</v>
      </c>
      <c r="C12" s="29" t="s">
        <v>13</v>
      </c>
      <c r="D12" s="30">
        <v>45056</v>
      </c>
      <c r="E12" s="31">
        <v>15</v>
      </c>
      <c r="F12" s="32">
        <f t="shared" si="2"/>
        <v>45077</v>
      </c>
      <c r="G12" s="33"/>
      <c r="H12" s="46" t="s">
        <v>27</v>
      </c>
      <c r="I12" s="35">
        <v>0</v>
      </c>
      <c r="J12" s="35"/>
      <c r="K12" s="3" t="str">
        <f t="shared" si="4"/>
        <v/>
      </c>
      <c r="L12" s="3" t="str">
        <f t="shared" si="4"/>
        <v/>
      </c>
      <c r="M12" s="3" t="str">
        <f t="shared" si="4"/>
        <v/>
      </c>
      <c r="N12" s="23" t="str">
        <f t="shared" si="4"/>
        <v/>
      </c>
      <c r="O12" s="23" t="str">
        <f t="shared" si="4"/>
        <v/>
      </c>
      <c r="P12" s="23" t="str">
        <f t="shared" si="4"/>
        <v/>
      </c>
      <c r="Q12" s="23" t="str">
        <f t="shared" si="4"/>
        <v/>
      </c>
      <c r="R12" s="23" t="str">
        <f t="shared" si="4"/>
        <v/>
      </c>
      <c r="S12" s="23" t="str">
        <f t="shared" si="4"/>
        <v/>
      </c>
      <c r="T12" s="23" t="str">
        <f t="shared" si="4"/>
        <v/>
      </c>
      <c r="U12" s="23" t="str">
        <f t="shared" si="4"/>
        <v/>
      </c>
      <c r="V12" s="23" t="str">
        <f t="shared" si="4"/>
        <v/>
      </c>
      <c r="W12" s="23" t="str">
        <f t="shared" si="4"/>
        <v/>
      </c>
      <c r="X12" s="23" t="str">
        <f t="shared" si="4"/>
        <v>u</v>
      </c>
      <c r="Y12" s="23" t="str">
        <f t="shared" si="4"/>
        <v/>
      </c>
      <c r="Z12" s="23" t="str">
        <f t="shared" si="4"/>
        <v/>
      </c>
      <c r="AA12" s="23" t="str">
        <f t="shared" si="5"/>
        <v/>
      </c>
      <c r="AB12" s="23" t="str">
        <f t="shared" si="5"/>
        <v/>
      </c>
      <c r="AC12" s="23" t="str">
        <f t="shared" si="5"/>
        <v/>
      </c>
      <c r="AD12" s="23" t="str">
        <f t="shared" si="5"/>
        <v/>
      </c>
      <c r="AE12" s="23" t="str">
        <f t="shared" si="5"/>
        <v/>
      </c>
      <c r="AF12" s="23" t="str">
        <f t="shared" si="5"/>
        <v/>
      </c>
      <c r="AG12" s="23" t="str">
        <f t="shared" si="5"/>
        <v/>
      </c>
      <c r="AH12" s="23" t="str">
        <f t="shared" si="5"/>
        <v/>
      </c>
      <c r="AI12" s="23" t="str">
        <f t="shared" si="5"/>
        <v/>
      </c>
      <c r="AJ12" s="23" t="str">
        <f t="shared" si="5"/>
        <v/>
      </c>
      <c r="AK12" s="23" t="str">
        <f t="shared" si="5"/>
        <v/>
      </c>
      <c r="AL12" s="23" t="str">
        <f t="shared" si="5"/>
        <v/>
      </c>
      <c r="AM12" s="23" t="str">
        <f t="shared" si="5"/>
        <v/>
      </c>
      <c r="AN12" s="23" t="str">
        <f t="shared" si="5"/>
        <v/>
      </c>
      <c r="AO12" s="23" t="str">
        <f t="shared" si="5"/>
        <v/>
      </c>
      <c r="AP12" s="23" t="str">
        <f t="shared" si="5"/>
        <v/>
      </c>
      <c r="AQ12" s="23" t="str">
        <f t="shared" si="3"/>
        <v/>
      </c>
      <c r="AR12" s="23" t="str">
        <f t="shared" si="3"/>
        <v/>
      </c>
      <c r="AS12" s="23" t="str">
        <f t="shared" si="3"/>
        <v/>
      </c>
      <c r="AT12" s="23" t="str">
        <f t="shared" si="3"/>
        <v/>
      </c>
      <c r="AU12" s="23" t="str">
        <f t="shared" si="3"/>
        <v/>
      </c>
      <c r="AV12" s="23" t="str">
        <f t="shared" si="3"/>
        <v/>
      </c>
      <c r="AW12" s="23" t="str">
        <f t="shared" si="3"/>
        <v/>
      </c>
    </row>
    <row r="13" spans="1:50" x14ac:dyDescent="0.35">
      <c r="A13" s="29" t="s">
        <v>22</v>
      </c>
      <c r="B13" s="29" t="s">
        <v>24</v>
      </c>
      <c r="C13" s="29"/>
      <c r="D13" s="30">
        <v>45011</v>
      </c>
      <c r="E13" s="31">
        <v>8</v>
      </c>
      <c r="F13" s="32">
        <v>45153</v>
      </c>
      <c r="G13" s="33"/>
      <c r="H13" s="46" t="s">
        <v>4</v>
      </c>
      <c r="I13" s="35">
        <v>0</v>
      </c>
      <c r="J13" s="35"/>
      <c r="K13" s="3" t="str">
        <f t="shared" si="4"/>
        <v/>
      </c>
      <c r="L13" s="3" t="str">
        <f t="shared" si="4"/>
        <v/>
      </c>
      <c r="M13" s="3" t="str">
        <f t="shared" si="4"/>
        <v/>
      </c>
      <c r="N13" s="23" t="str">
        <f t="shared" si="4"/>
        <v/>
      </c>
      <c r="O13" s="23" t="str">
        <f t="shared" si="4"/>
        <v/>
      </c>
      <c r="P13" s="23" t="str">
        <f t="shared" si="4"/>
        <v/>
      </c>
      <c r="Q13" s="23" t="str">
        <f t="shared" si="4"/>
        <v/>
      </c>
      <c r="R13" s="23" t="str">
        <f t="shared" si="4"/>
        <v/>
      </c>
      <c r="S13" s="23" t="str">
        <f t="shared" si="4"/>
        <v/>
      </c>
      <c r="T13" s="23" t="str">
        <f t="shared" si="4"/>
        <v/>
      </c>
      <c r="U13" s="23" t="str">
        <f t="shared" si="4"/>
        <v/>
      </c>
      <c r="V13" s="23" t="str">
        <f t="shared" si="4"/>
        <v/>
      </c>
      <c r="W13" s="23" t="str">
        <f t="shared" si="4"/>
        <v/>
      </c>
      <c r="X13" s="23" t="str">
        <f t="shared" si="4"/>
        <v/>
      </c>
      <c r="Y13" s="23" t="str">
        <f t="shared" si="4"/>
        <v/>
      </c>
      <c r="Z13" s="23" t="str">
        <f t="shared" si="4"/>
        <v/>
      </c>
      <c r="AA13" s="23" t="str">
        <f t="shared" si="5"/>
        <v/>
      </c>
      <c r="AB13" s="23" t="str">
        <f t="shared" si="5"/>
        <v/>
      </c>
      <c r="AC13" s="23" t="str">
        <f t="shared" si="5"/>
        <v/>
      </c>
      <c r="AD13" s="23" t="str">
        <f t="shared" si="5"/>
        <v/>
      </c>
      <c r="AE13" s="23" t="str">
        <f t="shared" si="5"/>
        <v/>
      </c>
      <c r="AF13" s="23" t="str">
        <f t="shared" si="5"/>
        <v/>
      </c>
      <c r="AG13" s="23" t="str">
        <f t="shared" si="5"/>
        <v/>
      </c>
      <c r="AH13" s="23" t="str">
        <f t="shared" si="5"/>
        <v/>
      </c>
      <c r="AI13" s="23" t="str">
        <f t="shared" si="5"/>
        <v>u</v>
      </c>
      <c r="AJ13" s="23" t="str">
        <f t="shared" si="5"/>
        <v/>
      </c>
      <c r="AK13" s="23" t="str">
        <f t="shared" si="5"/>
        <v/>
      </c>
      <c r="AL13" s="23" t="str">
        <f t="shared" si="5"/>
        <v/>
      </c>
      <c r="AM13" s="23" t="str">
        <f t="shared" si="5"/>
        <v/>
      </c>
      <c r="AN13" s="23" t="str">
        <f t="shared" si="5"/>
        <v/>
      </c>
      <c r="AO13" s="23" t="str">
        <f t="shared" si="5"/>
        <v/>
      </c>
      <c r="AP13" s="23" t="str">
        <f t="shared" si="5"/>
        <v/>
      </c>
      <c r="AQ13" s="23" t="str">
        <f t="shared" si="3"/>
        <v/>
      </c>
      <c r="AR13" s="23" t="str">
        <f t="shared" si="3"/>
        <v/>
      </c>
      <c r="AS13" s="23" t="str">
        <f t="shared" si="3"/>
        <v/>
      </c>
      <c r="AT13" s="23" t="str">
        <f t="shared" si="3"/>
        <v/>
      </c>
      <c r="AU13" s="23" t="str">
        <f t="shared" si="3"/>
        <v/>
      </c>
      <c r="AV13" s="23" t="str">
        <f t="shared" si="3"/>
        <v/>
      </c>
      <c r="AW13" s="23" t="str">
        <f t="shared" si="3"/>
        <v/>
      </c>
    </row>
    <row r="14" spans="1:50" x14ac:dyDescent="0.35">
      <c r="A14" s="29" t="s">
        <v>23</v>
      </c>
      <c r="B14" s="29" t="s">
        <v>8</v>
      </c>
      <c r="C14" s="29" t="s">
        <v>12</v>
      </c>
      <c r="D14" s="30">
        <v>45011</v>
      </c>
      <c r="E14" s="31">
        <v>5</v>
      </c>
      <c r="F14" s="32">
        <f t="shared" si="2"/>
        <v>45016</v>
      </c>
      <c r="G14" s="33"/>
      <c r="H14" s="46" t="s">
        <v>4</v>
      </c>
      <c r="I14" s="35">
        <v>0</v>
      </c>
      <c r="J14" s="35"/>
      <c r="K14" s="3" t="str">
        <f t="shared" si="4"/>
        <v/>
      </c>
      <c r="L14" s="3" t="str">
        <f t="shared" si="4"/>
        <v/>
      </c>
      <c r="M14" s="3" t="str">
        <f t="shared" si="4"/>
        <v/>
      </c>
      <c r="N14" s="23" t="str">
        <f t="shared" si="4"/>
        <v/>
      </c>
      <c r="O14" s="23" t="str">
        <f t="shared" si="4"/>
        <v>u</v>
      </c>
      <c r="P14" s="23" t="str">
        <f t="shared" si="4"/>
        <v/>
      </c>
      <c r="Q14" s="23" t="str">
        <f t="shared" si="4"/>
        <v/>
      </c>
      <c r="R14" s="23" t="str">
        <f t="shared" si="4"/>
        <v/>
      </c>
      <c r="S14" s="23" t="str">
        <f t="shared" si="4"/>
        <v/>
      </c>
      <c r="T14" s="23" t="str">
        <f t="shared" si="4"/>
        <v/>
      </c>
      <c r="U14" s="23" t="str">
        <f t="shared" si="4"/>
        <v/>
      </c>
      <c r="V14" s="23" t="str">
        <f t="shared" si="4"/>
        <v/>
      </c>
      <c r="W14" s="23" t="str">
        <f t="shared" si="4"/>
        <v/>
      </c>
      <c r="X14" s="23" t="str">
        <f t="shared" si="4"/>
        <v/>
      </c>
      <c r="Y14" s="23" t="str">
        <f t="shared" si="4"/>
        <v/>
      </c>
      <c r="Z14" s="23" t="str">
        <f t="shared" si="4"/>
        <v/>
      </c>
      <c r="AA14" s="23" t="str">
        <f t="shared" si="5"/>
        <v/>
      </c>
      <c r="AB14" s="23" t="str">
        <f t="shared" si="5"/>
        <v/>
      </c>
      <c r="AC14" s="23" t="str">
        <f t="shared" si="5"/>
        <v/>
      </c>
      <c r="AD14" s="23" t="str">
        <f t="shared" si="5"/>
        <v/>
      </c>
      <c r="AE14" s="23" t="str">
        <f t="shared" si="5"/>
        <v/>
      </c>
      <c r="AF14" s="23" t="str">
        <f t="shared" si="5"/>
        <v/>
      </c>
      <c r="AG14" s="23" t="str">
        <f t="shared" si="5"/>
        <v/>
      </c>
      <c r="AH14" s="23" t="str">
        <f t="shared" si="5"/>
        <v/>
      </c>
      <c r="AI14" s="23" t="str">
        <f t="shared" si="5"/>
        <v/>
      </c>
      <c r="AJ14" s="23" t="str">
        <f t="shared" si="5"/>
        <v/>
      </c>
      <c r="AK14" s="23" t="str">
        <f t="shared" si="5"/>
        <v/>
      </c>
      <c r="AL14" s="23" t="str">
        <f t="shared" si="5"/>
        <v/>
      </c>
      <c r="AM14" s="23" t="str">
        <f t="shared" si="5"/>
        <v/>
      </c>
      <c r="AN14" s="23" t="str">
        <f t="shared" si="5"/>
        <v/>
      </c>
      <c r="AO14" s="23" t="str">
        <f t="shared" si="5"/>
        <v/>
      </c>
      <c r="AP14" s="23" t="str">
        <f t="shared" si="5"/>
        <v/>
      </c>
      <c r="AQ14" s="23" t="str">
        <f t="shared" si="3"/>
        <v/>
      </c>
      <c r="AR14" s="23" t="str">
        <f t="shared" si="3"/>
        <v/>
      </c>
      <c r="AS14" s="23" t="str">
        <f t="shared" si="3"/>
        <v/>
      </c>
      <c r="AT14" s="23" t="str">
        <f t="shared" si="3"/>
        <v/>
      </c>
      <c r="AU14" s="23" t="str">
        <f t="shared" si="3"/>
        <v/>
      </c>
      <c r="AV14" s="23" t="str">
        <f t="shared" si="3"/>
        <v/>
      </c>
      <c r="AW14" s="23" t="str">
        <f t="shared" si="3"/>
        <v/>
      </c>
    </row>
    <row r="15" spans="1:50" x14ac:dyDescent="0.35">
      <c r="A15" s="29" t="s">
        <v>23</v>
      </c>
      <c r="B15" s="29"/>
      <c r="C15" s="29"/>
      <c r="D15" s="30">
        <v>45128</v>
      </c>
      <c r="E15" s="31">
        <v>1</v>
      </c>
      <c r="F15" s="32">
        <f t="shared" si="2"/>
        <v>45131</v>
      </c>
      <c r="G15" s="33"/>
      <c r="H15" s="46" t="s">
        <v>4</v>
      </c>
      <c r="I15" s="35">
        <v>0</v>
      </c>
      <c r="J15" s="35"/>
      <c r="K15" s="3" t="str">
        <f t="shared" si="4"/>
        <v/>
      </c>
      <c r="L15" s="3" t="str">
        <f t="shared" si="4"/>
        <v/>
      </c>
      <c r="M15" s="3" t="str">
        <f t="shared" si="4"/>
        <v/>
      </c>
      <c r="N15" s="23" t="str">
        <f t="shared" si="4"/>
        <v/>
      </c>
      <c r="O15" s="23" t="str">
        <f t="shared" si="4"/>
        <v/>
      </c>
      <c r="P15" s="23" t="str">
        <f t="shared" si="4"/>
        <v/>
      </c>
      <c r="Q15" s="23" t="str">
        <f t="shared" si="4"/>
        <v/>
      </c>
      <c r="R15" s="23" t="str">
        <f t="shared" si="4"/>
        <v/>
      </c>
      <c r="S15" s="23" t="str">
        <f t="shared" si="4"/>
        <v/>
      </c>
      <c r="T15" s="23" t="str">
        <f t="shared" si="4"/>
        <v/>
      </c>
      <c r="U15" s="23" t="str">
        <f t="shared" si="4"/>
        <v/>
      </c>
      <c r="V15" s="23" t="str">
        <f t="shared" si="4"/>
        <v/>
      </c>
      <c r="W15" s="23" t="str">
        <f t="shared" si="4"/>
        <v/>
      </c>
      <c r="X15" s="23" t="str">
        <f t="shared" si="4"/>
        <v/>
      </c>
      <c r="Y15" s="23" t="str">
        <f t="shared" si="4"/>
        <v/>
      </c>
      <c r="Z15" s="23" t="str">
        <f t="shared" si="4"/>
        <v/>
      </c>
      <c r="AA15" s="23" t="str">
        <f t="shared" si="5"/>
        <v/>
      </c>
      <c r="AB15" s="23" t="str">
        <f t="shared" si="5"/>
        <v/>
      </c>
      <c r="AC15" s="23" t="str">
        <f t="shared" si="5"/>
        <v/>
      </c>
      <c r="AD15" s="23" t="str">
        <f t="shared" si="5"/>
        <v/>
      </c>
      <c r="AE15" s="23" t="str">
        <f t="shared" si="5"/>
        <v/>
      </c>
      <c r="AF15" s="23" t="str">
        <f t="shared" si="5"/>
        <v>u</v>
      </c>
      <c r="AG15" s="23" t="str">
        <f t="shared" si="5"/>
        <v/>
      </c>
      <c r="AH15" s="23" t="str">
        <f t="shared" si="5"/>
        <v/>
      </c>
      <c r="AI15" s="23" t="str">
        <f t="shared" si="5"/>
        <v/>
      </c>
      <c r="AJ15" s="23" t="str">
        <f t="shared" si="5"/>
        <v/>
      </c>
      <c r="AK15" s="23" t="str">
        <f t="shared" si="5"/>
        <v/>
      </c>
      <c r="AL15" s="23" t="str">
        <f t="shared" si="5"/>
        <v/>
      </c>
      <c r="AM15" s="23" t="str">
        <f t="shared" si="5"/>
        <v/>
      </c>
      <c r="AN15" s="23" t="str">
        <f t="shared" si="5"/>
        <v/>
      </c>
      <c r="AO15" s="23" t="str">
        <f t="shared" si="5"/>
        <v/>
      </c>
      <c r="AP15" s="23" t="str">
        <f t="shared" si="5"/>
        <v/>
      </c>
      <c r="AQ15" s="23" t="str">
        <f t="shared" si="3"/>
        <v/>
      </c>
      <c r="AR15" s="23" t="str">
        <f t="shared" si="3"/>
        <v/>
      </c>
      <c r="AS15" s="23" t="str">
        <f t="shared" si="3"/>
        <v/>
      </c>
      <c r="AT15" s="23" t="str">
        <f t="shared" si="3"/>
        <v/>
      </c>
      <c r="AU15" s="23" t="str">
        <f t="shared" si="3"/>
        <v/>
      </c>
      <c r="AV15" s="23" t="str">
        <f t="shared" si="3"/>
        <v/>
      </c>
      <c r="AW15" s="23" t="str">
        <f t="shared" si="3"/>
        <v/>
      </c>
    </row>
    <row r="16" spans="1:50" x14ac:dyDescent="0.35">
      <c r="A16" s="29" t="s">
        <v>23</v>
      </c>
      <c r="B16" s="29" t="s">
        <v>9</v>
      </c>
      <c r="C16" s="29" t="s">
        <v>14</v>
      </c>
      <c r="D16" s="30">
        <v>45152</v>
      </c>
      <c r="E16" s="31">
        <v>1</v>
      </c>
      <c r="F16" s="32">
        <f t="shared" si="2"/>
        <v>45153</v>
      </c>
      <c r="G16" s="33"/>
      <c r="H16" s="46" t="s">
        <v>4</v>
      </c>
      <c r="I16" s="35">
        <v>0</v>
      </c>
      <c r="J16" s="35"/>
      <c r="K16" s="3" t="str">
        <f t="shared" si="4"/>
        <v/>
      </c>
      <c r="L16" s="3" t="str">
        <f t="shared" si="4"/>
        <v/>
      </c>
      <c r="M16" s="3" t="str">
        <f t="shared" si="4"/>
        <v/>
      </c>
      <c r="N16" s="23" t="str">
        <f t="shared" si="4"/>
        <v/>
      </c>
      <c r="O16" s="23" t="str">
        <f t="shared" si="4"/>
        <v/>
      </c>
      <c r="P16" s="23" t="str">
        <f t="shared" si="4"/>
        <v/>
      </c>
      <c r="Q16" s="23" t="str">
        <f t="shared" si="4"/>
        <v/>
      </c>
      <c r="R16" s="23" t="str">
        <f t="shared" si="4"/>
        <v/>
      </c>
      <c r="S16" s="23" t="str">
        <f t="shared" si="4"/>
        <v/>
      </c>
      <c r="T16" s="23" t="str">
        <f t="shared" si="4"/>
        <v/>
      </c>
      <c r="U16" s="23" t="str">
        <f t="shared" si="4"/>
        <v/>
      </c>
      <c r="V16" s="23" t="str">
        <f t="shared" si="4"/>
        <v/>
      </c>
      <c r="W16" s="23" t="str">
        <f t="shared" si="4"/>
        <v/>
      </c>
      <c r="X16" s="23" t="str">
        <f t="shared" si="4"/>
        <v/>
      </c>
      <c r="Y16" s="23" t="str">
        <f t="shared" si="4"/>
        <v/>
      </c>
      <c r="Z16" s="23" t="str">
        <f t="shared" si="4"/>
        <v/>
      </c>
      <c r="AA16" s="23" t="str">
        <f t="shared" si="5"/>
        <v/>
      </c>
      <c r="AB16" s="23" t="str">
        <f t="shared" si="5"/>
        <v/>
      </c>
      <c r="AC16" s="23" t="str">
        <f t="shared" si="5"/>
        <v/>
      </c>
      <c r="AD16" s="23" t="str">
        <f t="shared" si="5"/>
        <v/>
      </c>
      <c r="AE16" s="23" t="str">
        <f t="shared" si="5"/>
        <v/>
      </c>
      <c r="AF16" s="23" t="str">
        <f t="shared" si="5"/>
        <v/>
      </c>
      <c r="AG16" s="23" t="str">
        <f t="shared" si="5"/>
        <v/>
      </c>
      <c r="AH16" s="23" t="str">
        <f t="shared" si="5"/>
        <v/>
      </c>
      <c r="AI16" s="23" t="str">
        <f t="shared" si="5"/>
        <v>u</v>
      </c>
      <c r="AJ16" s="23" t="str">
        <f t="shared" si="5"/>
        <v/>
      </c>
      <c r="AK16" s="23" t="str">
        <f t="shared" si="5"/>
        <v/>
      </c>
      <c r="AL16" s="23" t="str">
        <f t="shared" si="5"/>
        <v/>
      </c>
      <c r="AM16" s="23" t="str">
        <f t="shared" si="5"/>
        <v/>
      </c>
      <c r="AN16" s="23" t="str">
        <f t="shared" si="5"/>
        <v/>
      </c>
      <c r="AO16" s="23" t="str">
        <f t="shared" si="5"/>
        <v/>
      </c>
      <c r="AP16" s="23" t="str">
        <f t="shared" si="5"/>
        <v/>
      </c>
      <c r="AQ16" s="23" t="str">
        <f t="shared" si="3"/>
        <v/>
      </c>
      <c r="AR16" s="23" t="str">
        <f t="shared" si="3"/>
        <v/>
      </c>
      <c r="AS16" s="23" t="str">
        <f t="shared" si="3"/>
        <v/>
      </c>
      <c r="AT16" s="23" t="str">
        <f t="shared" si="3"/>
        <v/>
      </c>
      <c r="AU16" s="23" t="str">
        <f t="shared" si="3"/>
        <v/>
      </c>
      <c r="AV16" s="23" t="str">
        <f t="shared" si="3"/>
        <v/>
      </c>
      <c r="AW16" s="23" t="str">
        <f t="shared" si="3"/>
        <v/>
      </c>
    </row>
    <row r="17" spans="1:49" x14ac:dyDescent="0.35">
      <c r="A17" s="29" t="s">
        <v>23</v>
      </c>
      <c r="B17" s="29" t="s">
        <v>10</v>
      </c>
      <c r="C17" s="29" t="s">
        <v>13</v>
      </c>
      <c r="D17" s="30">
        <v>45135</v>
      </c>
      <c r="E17" s="31">
        <v>1</v>
      </c>
      <c r="F17" s="32">
        <f t="shared" si="2"/>
        <v>45138</v>
      </c>
      <c r="G17" s="33"/>
      <c r="H17" s="46" t="s">
        <v>5</v>
      </c>
      <c r="I17" s="35">
        <v>0</v>
      </c>
      <c r="J17" s="35"/>
      <c r="K17" s="3" t="str">
        <f t="shared" si="4"/>
        <v/>
      </c>
      <c r="L17" s="3" t="str">
        <f t="shared" si="4"/>
        <v/>
      </c>
      <c r="M17" s="3" t="str">
        <f t="shared" si="4"/>
        <v/>
      </c>
      <c r="N17" s="23" t="str">
        <f t="shared" si="4"/>
        <v/>
      </c>
      <c r="O17" s="23" t="str">
        <f t="shared" si="4"/>
        <v/>
      </c>
      <c r="P17" s="23" t="str">
        <f t="shared" si="4"/>
        <v/>
      </c>
      <c r="Q17" s="23" t="str">
        <f t="shared" si="4"/>
        <v/>
      </c>
      <c r="R17" s="23" t="str">
        <f t="shared" si="4"/>
        <v/>
      </c>
      <c r="S17" s="23" t="str">
        <f t="shared" si="4"/>
        <v/>
      </c>
      <c r="T17" s="23" t="str">
        <f t="shared" si="4"/>
        <v/>
      </c>
      <c r="U17" s="23" t="str">
        <f t="shared" si="4"/>
        <v/>
      </c>
      <c r="V17" s="23" t="str">
        <f t="shared" si="4"/>
        <v/>
      </c>
      <c r="W17" s="23" t="str">
        <f t="shared" si="4"/>
        <v/>
      </c>
      <c r="X17" s="23" t="str">
        <f t="shared" si="4"/>
        <v/>
      </c>
      <c r="Y17" s="23" t="str">
        <f t="shared" si="4"/>
        <v/>
      </c>
      <c r="Z17" s="23" t="str">
        <f t="shared" si="4"/>
        <v/>
      </c>
      <c r="AA17" s="23" t="str">
        <f t="shared" si="5"/>
        <v/>
      </c>
      <c r="AB17" s="23" t="str">
        <f t="shared" si="5"/>
        <v/>
      </c>
      <c r="AC17" s="23" t="str">
        <f t="shared" si="5"/>
        <v/>
      </c>
      <c r="AD17" s="23" t="str">
        <f t="shared" si="5"/>
        <v/>
      </c>
      <c r="AE17" s="23" t="str">
        <f t="shared" si="5"/>
        <v/>
      </c>
      <c r="AF17" s="23" t="str">
        <f t="shared" si="5"/>
        <v/>
      </c>
      <c r="AG17" s="23" t="str">
        <f t="shared" si="5"/>
        <v>u</v>
      </c>
      <c r="AH17" s="23" t="str">
        <f t="shared" si="5"/>
        <v/>
      </c>
      <c r="AI17" s="23" t="str">
        <f t="shared" si="5"/>
        <v/>
      </c>
      <c r="AJ17" s="23" t="str">
        <f t="shared" si="5"/>
        <v/>
      </c>
      <c r="AK17" s="23" t="str">
        <f t="shared" si="5"/>
        <v/>
      </c>
      <c r="AL17" s="23" t="str">
        <f t="shared" si="5"/>
        <v/>
      </c>
      <c r="AM17" s="23" t="str">
        <f t="shared" si="5"/>
        <v/>
      </c>
      <c r="AN17" s="23" t="str">
        <f t="shared" si="5"/>
        <v/>
      </c>
      <c r="AO17" s="23" t="str">
        <f t="shared" si="5"/>
        <v/>
      </c>
      <c r="AP17" s="23" t="str">
        <f t="shared" si="5"/>
        <v/>
      </c>
      <c r="AQ17" s="23" t="str">
        <f t="shared" si="3"/>
        <v/>
      </c>
      <c r="AR17" s="23" t="str">
        <f t="shared" si="3"/>
        <v/>
      </c>
      <c r="AS17" s="23" t="str">
        <f t="shared" si="3"/>
        <v/>
      </c>
      <c r="AT17" s="23" t="str">
        <f t="shared" si="3"/>
        <v/>
      </c>
      <c r="AU17" s="23" t="str">
        <f t="shared" si="3"/>
        <v/>
      </c>
      <c r="AV17" s="23" t="str">
        <f t="shared" si="3"/>
        <v/>
      </c>
      <c r="AW17" s="23" t="str">
        <f t="shared" si="3"/>
        <v/>
      </c>
    </row>
    <row r="18" spans="1:49" x14ac:dyDescent="0.35">
      <c r="A18" s="29" t="s">
        <v>22</v>
      </c>
      <c r="B18" s="29" t="s">
        <v>25</v>
      </c>
      <c r="C18" s="29"/>
      <c r="D18" s="30">
        <v>45009</v>
      </c>
      <c r="E18" s="31">
        <v>60</v>
      </c>
      <c r="F18" s="32">
        <v>45093</v>
      </c>
      <c r="G18" s="33"/>
      <c r="H18" s="46" t="s">
        <v>4</v>
      </c>
      <c r="I18" s="35">
        <v>0</v>
      </c>
      <c r="J18" s="35"/>
      <c r="K18" s="3" t="str">
        <f t="shared" si="4"/>
        <v/>
      </c>
      <c r="L18" s="3" t="str">
        <f t="shared" si="4"/>
        <v/>
      </c>
      <c r="M18" s="3" t="str">
        <f t="shared" si="4"/>
        <v/>
      </c>
      <c r="N18" s="23" t="str">
        <f t="shared" si="4"/>
        <v/>
      </c>
      <c r="O18" s="23" t="str">
        <f t="shared" si="4"/>
        <v/>
      </c>
      <c r="P18" s="23" t="str">
        <f t="shared" si="4"/>
        <v/>
      </c>
      <c r="Q18" s="23" t="str">
        <f t="shared" si="4"/>
        <v/>
      </c>
      <c r="R18" s="23" t="str">
        <f t="shared" si="4"/>
        <v/>
      </c>
      <c r="S18" s="23" t="str">
        <f t="shared" si="4"/>
        <v/>
      </c>
      <c r="T18" s="23" t="str">
        <f t="shared" si="4"/>
        <v/>
      </c>
      <c r="U18" s="23" t="str">
        <f t="shared" si="4"/>
        <v/>
      </c>
      <c r="V18" s="23" t="str">
        <f t="shared" si="4"/>
        <v/>
      </c>
      <c r="W18" s="23" t="str">
        <f t="shared" si="4"/>
        <v/>
      </c>
      <c r="X18" s="23" t="str">
        <f t="shared" si="4"/>
        <v/>
      </c>
      <c r="Y18" s="23" t="str">
        <f t="shared" si="4"/>
        <v/>
      </c>
      <c r="Z18" s="23" t="str">
        <f t="shared" si="4"/>
        <v>u</v>
      </c>
      <c r="AA18" s="23" t="str">
        <f t="shared" si="5"/>
        <v/>
      </c>
      <c r="AB18" s="23" t="str">
        <f t="shared" si="5"/>
        <v/>
      </c>
      <c r="AC18" s="23" t="str">
        <f t="shared" si="5"/>
        <v/>
      </c>
      <c r="AD18" s="23" t="str">
        <f t="shared" si="5"/>
        <v/>
      </c>
      <c r="AE18" s="23" t="str">
        <f t="shared" si="5"/>
        <v/>
      </c>
      <c r="AF18" s="23" t="str">
        <f t="shared" si="5"/>
        <v/>
      </c>
      <c r="AG18" s="23" t="str">
        <f t="shared" si="5"/>
        <v/>
      </c>
      <c r="AH18" s="23" t="str">
        <f t="shared" si="5"/>
        <v/>
      </c>
      <c r="AI18" s="23" t="str">
        <f t="shared" si="5"/>
        <v/>
      </c>
      <c r="AJ18" s="23" t="str">
        <f t="shared" si="5"/>
        <v/>
      </c>
      <c r="AK18" s="23" t="str">
        <f t="shared" si="5"/>
        <v/>
      </c>
      <c r="AL18" s="23" t="str">
        <f t="shared" si="5"/>
        <v/>
      </c>
      <c r="AM18" s="23" t="str">
        <f t="shared" si="5"/>
        <v/>
      </c>
      <c r="AN18" s="23" t="str">
        <f t="shared" si="5"/>
        <v/>
      </c>
      <c r="AO18" s="23" t="str">
        <f t="shared" si="5"/>
        <v/>
      </c>
      <c r="AP18" s="23" t="str">
        <f t="shared" si="5"/>
        <v/>
      </c>
      <c r="AQ18" s="23" t="str">
        <f t="shared" si="3"/>
        <v/>
      </c>
      <c r="AR18" s="23" t="str">
        <f t="shared" si="3"/>
        <v/>
      </c>
      <c r="AS18" s="23" t="str">
        <f t="shared" si="3"/>
        <v/>
      </c>
      <c r="AT18" s="23" t="str">
        <f t="shared" si="3"/>
        <v/>
      </c>
      <c r="AU18" s="23" t="str">
        <f t="shared" si="3"/>
        <v/>
      </c>
      <c r="AV18" s="23" t="str">
        <f t="shared" si="3"/>
        <v/>
      </c>
      <c r="AW18" s="23" t="str">
        <f t="shared" si="3"/>
        <v/>
      </c>
    </row>
    <row r="19" spans="1:49" x14ac:dyDescent="0.35">
      <c r="A19" s="29" t="s">
        <v>23</v>
      </c>
      <c r="B19" s="29" t="s">
        <v>8</v>
      </c>
      <c r="C19" s="29" t="s">
        <v>12</v>
      </c>
      <c r="D19" s="30">
        <v>45009</v>
      </c>
      <c r="E19" s="31">
        <v>15</v>
      </c>
      <c r="F19" s="32">
        <f t="shared" si="2"/>
        <v>45030</v>
      </c>
      <c r="G19" s="33"/>
      <c r="H19" s="46" t="s">
        <v>4</v>
      </c>
      <c r="I19" s="35">
        <v>0</v>
      </c>
      <c r="J19" s="35"/>
      <c r="K19" s="3" t="str">
        <f t="shared" si="4"/>
        <v/>
      </c>
      <c r="L19" s="3" t="str">
        <f t="shared" si="4"/>
        <v/>
      </c>
      <c r="M19" s="3" t="str">
        <f t="shared" si="4"/>
        <v/>
      </c>
      <c r="N19" s="23" t="str">
        <f t="shared" si="4"/>
        <v/>
      </c>
      <c r="O19" s="23" t="str">
        <f t="shared" si="4"/>
        <v/>
      </c>
      <c r="P19" s="23" t="str">
        <f t="shared" si="4"/>
        <v/>
      </c>
      <c r="Q19" s="23" t="str">
        <f t="shared" si="4"/>
        <v>u</v>
      </c>
      <c r="R19" s="23" t="str">
        <f t="shared" si="4"/>
        <v/>
      </c>
      <c r="S19" s="23" t="str">
        <f t="shared" si="4"/>
        <v/>
      </c>
      <c r="T19" s="23" t="str">
        <f t="shared" si="4"/>
        <v/>
      </c>
      <c r="U19" s="23" t="str">
        <f t="shared" si="4"/>
        <v/>
      </c>
      <c r="V19" s="23" t="str">
        <f t="shared" si="4"/>
        <v/>
      </c>
      <c r="W19" s="23" t="str">
        <f t="shared" si="4"/>
        <v/>
      </c>
      <c r="X19" s="23" t="str">
        <f t="shared" si="4"/>
        <v/>
      </c>
      <c r="Y19" s="23" t="str">
        <f t="shared" si="4"/>
        <v/>
      </c>
      <c r="Z19" s="23" t="str">
        <f t="shared" si="4"/>
        <v/>
      </c>
      <c r="AA19" s="23" t="str">
        <f t="shared" si="5"/>
        <v/>
      </c>
      <c r="AB19" s="23" t="str">
        <f t="shared" si="5"/>
        <v/>
      </c>
      <c r="AC19" s="23" t="str">
        <f t="shared" si="5"/>
        <v/>
      </c>
      <c r="AD19" s="23" t="str">
        <f t="shared" si="5"/>
        <v/>
      </c>
      <c r="AE19" s="23" t="str">
        <f t="shared" si="5"/>
        <v/>
      </c>
      <c r="AF19" s="23" t="str">
        <f t="shared" si="5"/>
        <v/>
      </c>
      <c r="AG19" s="23" t="str">
        <f t="shared" si="5"/>
        <v/>
      </c>
      <c r="AH19" s="23" t="str">
        <f t="shared" si="5"/>
        <v/>
      </c>
      <c r="AI19" s="23" t="str">
        <f t="shared" si="5"/>
        <v/>
      </c>
      <c r="AJ19" s="23" t="str">
        <f t="shared" si="5"/>
        <v/>
      </c>
      <c r="AK19" s="23" t="str">
        <f t="shared" si="5"/>
        <v/>
      </c>
      <c r="AL19" s="23" t="str">
        <f t="shared" si="5"/>
        <v/>
      </c>
      <c r="AM19" s="23" t="str">
        <f t="shared" si="5"/>
        <v/>
      </c>
      <c r="AN19" s="23" t="str">
        <f t="shared" si="5"/>
        <v/>
      </c>
      <c r="AO19" s="23" t="str">
        <f t="shared" si="5"/>
        <v/>
      </c>
      <c r="AP19" s="23" t="str">
        <f t="shared" si="5"/>
        <v/>
      </c>
      <c r="AQ19" s="23" t="str">
        <f t="shared" si="3"/>
        <v/>
      </c>
      <c r="AR19" s="23" t="str">
        <f t="shared" si="3"/>
        <v/>
      </c>
      <c r="AS19" s="23" t="str">
        <f t="shared" si="3"/>
        <v/>
      </c>
      <c r="AT19" s="23" t="str">
        <f t="shared" si="3"/>
        <v/>
      </c>
      <c r="AU19" s="23" t="str">
        <f t="shared" si="3"/>
        <v/>
      </c>
      <c r="AV19" s="23" t="str">
        <f t="shared" si="3"/>
        <v/>
      </c>
      <c r="AW19" s="23" t="str">
        <f t="shared" si="3"/>
        <v/>
      </c>
    </row>
    <row r="20" spans="1:49" x14ac:dyDescent="0.35">
      <c r="A20" s="29" t="s">
        <v>23</v>
      </c>
      <c r="B20" s="29"/>
      <c r="C20" s="29"/>
      <c r="D20" s="30">
        <f>+F19</f>
        <v>45030</v>
      </c>
      <c r="E20" s="31">
        <v>15</v>
      </c>
      <c r="F20" s="32">
        <f t="shared" si="2"/>
        <v>45051</v>
      </c>
      <c r="G20" s="33"/>
      <c r="H20" s="46" t="s">
        <v>27</v>
      </c>
      <c r="I20" s="35">
        <v>0</v>
      </c>
      <c r="J20" s="35"/>
      <c r="K20" s="3" t="str">
        <f t="shared" si="4"/>
        <v/>
      </c>
      <c r="L20" s="3" t="str">
        <f t="shared" si="4"/>
        <v/>
      </c>
      <c r="M20" s="3" t="str">
        <f t="shared" si="4"/>
        <v/>
      </c>
      <c r="N20" s="23" t="str">
        <f t="shared" si="4"/>
        <v/>
      </c>
      <c r="O20" s="23" t="str">
        <f t="shared" si="4"/>
        <v/>
      </c>
      <c r="P20" s="23" t="str">
        <f t="shared" si="4"/>
        <v/>
      </c>
      <c r="Q20" s="23" t="str">
        <f t="shared" si="4"/>
        <v/>
      </c>
      <c r="R20" s="23" t="str">
        <f t="shared" si="4"/>
        <v/>
      </c>
      <c r="S20" s="23" t="str">
        <f t="shared" si="4"/>
        <v/>
      </c>
      <c r="T20" s="23" t="str">
        <f t="shared" si="4"/>
        <v>u</v>
      </c>
      <c r="U20" s="23" t="str">
        <f t="shared" si="4"/>
        <v/>
      </c>
      <c r="V20" s="23" t="str">
        <f t="shared" si="4"/>
        <v/>
      </c>
      <c r="W20" s="23" t="str">
        <f t="shared" si="4"/>
        <v/>
      </c>
      <c r="X20" s="23" t="str">
        <f t="shared" si="4"/>
        <v/>
      </c>
      <c r="Y20" s="23" t="str">
        <f t="shared" si="4"/>
        <v/>
      </c>
      <c r="Z20" s="23" t="str">
        <f t="shared" si="4"/>
        <v/>
      </c>
      <c r="AA20" s="23" t="str">
        <f t="shared" si="5"/>
        <v/>
      </c>
      <c r="AB20" s="23" t="str">
        <f t="shared" si="5"/>
        <v/>
      </c>
      <c r="AC20" s="23" t="str">
        <f t="shared" si="5"/>
        <v/>
      </c>
      <c r="AD20" s="23" t="str">
        <f t="shared" si="5"/>
        <v/>
      </c>
      <c r="AE20" s="23" t="str">
        <f t="shared" si="5"/>
        <v/>
      </c>
      <c r="AF20" s="23" t="str">
        <f t="shared" si="5"/>
        <v/>
      </c>
      <c r="AG20" s="23" t="str">
        <f t="shared" si="5"/>
        <v/>
      </c>
      <c r="AH20" s="23" t="str">
        <f t="shared" si="5"/>
        <v/>
      </c>
      <c r="AI20" s="23" t="str">
        <f t="shared" si="5"/>
        <v/>
      </c>
      <c r="AJ20" s="23" t="str">
        <f t="shared" si="5"/>
        <v/>
      </c>
      <c r="AK20" s="23" t="str">
        <f t="shared" si="5"/>
        <v/>
      </c>
      <c r="AL20" s="23" t="str">
        <f t="shared" si="5"/>
        <v/>
      </c>
      <c r="AM20" s="23" t="str">
        <f t="shared" si="5"/>
        <v/>
      </c>
      <c r="AN20" s="23" t="str">
        <f t="shared" si="5"/>
        <v/>
      </c>
      <c r="AO20" s="23" t="str">
        <f t="shared" si="5"/>
        <v/>
      </c>
      <c r="AP20" s="23" t="str">
        <f t="shared" si="5"/>
        <v/>
      </c>
      <c r="AQ20" s="23" t="str">
        <f t="shared" si="3"/>
        <v/>
      </c>
      <c r="AR20" s="23" t="str">
        <f t="shared" si="3"/>
        <v/>
      </c>
      <c r="AS20" s="23" t="str">
        <f t="shared" si="3"/>
        <v/>
      </c>
      <c r="AT20" s="23" t="str">
        <f t="shared" si="3"/>
        <v/>
      </c>
      <c r="AU20" s="23" t="str">
        <f t="shared" si="3"/>
        <v/>
      </c>
      <c r="AV20" s="23" t="str">
        <f t="shared" si="3"/>
        <v/>
      </c>
      <c r="AW20" s="23" t="str">
        <f t="shared" si="3"/>
        <v/>
      </c>
    </row>
    <row r="21" spans="1:49" x14ac:dyDescent="0.35">
      <c r="A21" s="29" t="s">
        <v>23</v>
      </c>
      <c r="B21" s="29" t="s">
        <v>9</v>
      </c>
      <c r="C21" s="29" t="s">
        <v>14</v>
      </c>
      <c r="D21" s="30">
        <f>+F20</f>
        <v>45051</v>
      </c>
      <c r="E21" s="31">
        <v>15</v>
      </c>
      <c r="F21" s="32">
        <f t="shared" si="2"/>
        <v>45072</v>
      </c>
      <c r="G21" s="33"/>
      <c r="H21" s="46" t="s">
        <v>4</v>
      </c>
      <c r="I21" s="35">
        <v>0</v>
      </c>
      <c r="J21" s="35"/>
      <c r="K21" s="3" t="str">
        <f t="shared" si="4"/>
        <v/>
      </c>
      <c r="L21" s="3" t="str">
        <f t="shared" si="4"/>
        <v/>
      </c>
      <c r="M21" s="3" t="str">
        <f t="shared" si="4"/>
        <v/>
      </c>
      <c r="N21" s="23" t="str">
        <f t="shared" si="4"/>
        <v/>
      </c>
      <c r="O21" s="23" t="str">
        <f t="shared" si="4"/>
        <v/>
      </c>
      <c r="P21" s="23" t="str">
        <f t="shared" si="4"/>
        <v/>
      </c>
      <c r="Q21" s="23" t="str">
        <f t="shared" si="4"/>
        <v/>
      </c>
      <c r="R21" s="23" t="str">
        <f t="shared" si="4"/>
        <v/>
      </c>
      <c r="S21" s="23" t="str">
        <f t="shared" si="4"/>
        <v/>
      </c>
      <c r="T21" s="23" t="str">
        <f t="shared" si="4"/>
        <v/>
      </c>
      <c r="U21" s="23" t="str">
        <f t="shared" si="4"/>
        <v/>
      </c>
      <c r="V21" s="23" t="str">
        <f t="shared" si="4"/>
        <v/>
      </c>
      <c r="W21" s="23" t="str">
        <f t="shared" si="4"/>
        <v>u</v>
      </c>
      <c r="X21" s="23" t="str">
        <f t="shared" si="4"/>
        <v/>
      </c>
      <c r="Y21" s="23" t="str">
        <f t="shared" si="4"/>
        <v/>
      </c>
      <c r="Z21" s="23" t="str">
        <f t="shared" si="4"/>
        <v/>
      </c>
      <c r="AA21" s="23" t="str">
        <f t="shared" si="5"/>
        <v/>
      </c>
      <c r="AB21" s="23" t="str">
        <f t="shared" si="5"/>
        <v/>
      </c>
      <c r="AC21" s="23" t="str">
        <f t="shared" si="5"/>
        <v/>
      </c>
      <c r="AD21" s="23" t="str">
        <f t="shared" si="5"/>
        <v/>
      </c>
      <c r="AE21" s="23" t="str">
        <f t="shared" si="5"/>
        <v/>
      </c>
      <c r="AF21" s="23" t="str">
        <f t="shared" si="5"/>
        <v/>
      </c>
      <c r="AG21" s="23" t="str">
        <f t="shared" si="5"/>
        <v/>
      </c>
      <c r="AH21" s="23" t="str">
        <f t="shared" si="5"/>
        <v/>
      </c>
      <c r="AI21" s="23" t="str">
        <f t="shared" si="5"/>
        <v/>
      </c>
      <c r="AJ21" s="23" t="str">
        <f t="shared" si="5"/>
        <v/>
      </c>
      <c r="AK21" s="23" t="str">
        <f t="shared" si="5"/>
        <v/>
      </c>
      <c r="AL21" s="23" t="str">
        <f t="shared" si="5"/>
        <v/>
      </c>
      <c r="AM21" s="23" t="str">
        <f t="shared" si="5"/>
        <v/>
      </c>
      <c r="AN21" s="23" t="str">
        <f t="shared" si="5"/>
        <v/>
      </c>
      <c r="AO21" s="23" t="str">
        <f t="shared" si="5"/>
        <v/>
      </c>
      <c r="AP21" s="23" t="str">
        <f t="shared" si="5"/>
        <v/>
      </c>
      <c r="AQ21" s="23" t="str">
        <f t="shared" si="3"/>
        <v/>
      </c>
      <c r="AR21" s="23" t="str">
        <f t="shared" si="3"/>
        <v/>
      </c>
      <c r="AS21" s="23" t="str">
        <f t="shared" si="3"/>
        <v/>
      </c>
      <c r="AT21" s="23" t="str">
        <f t="shared" si="3"/>
        <v/>
      </c>
      <c r="AU21" s="23" t="str">
        <f t="shared" si="3"/>
        <v/>
      </c>
      <c r="AV21" s="23" t="str">
        <f t="shared" si="3"/>
        <v/>
      </c>
      <c r="AW21" s="23" t="str">
        <f t="shared" si="3"/>
        <v/>
      </c>
    </row>
    <row r="22" spans="1:49" x14ac:dyDescent="0.35">
      <c r="A22" s="29" t="s">
        <v>23</v>
      </c>
      <c r="B22" s="29" t="s">
        <v>10</v>
      </c>
      <c r="C22" s="29" t="s">
        <v>13</v>
      </c>
      <c r="D22" s="30">
        <f>+F21</f>
        <v>45072</v>
      </c>
      <c r="E22" s="31">
        <v>15</v>
      </c>
      <c r="F22" s="32">
        <f t="shared" si="2"/>
        <v>45093</v>
      </c>
      <c r="G22" s="33"/>
      <c r="H22" s="47"/>
      <c r="I22" s="35">
        <v>0</v>
      </c>
      <c r="J22" s="35"/>
      <c r="K22" s="3" t="str">
        <f t="shared" si="4"/>
        <v/>
      </c>
      <c r="L22" s="3" t="str">
        <f t="shared" si="4"/>
        <v/>
      </c>
      <c r="M22" s="3" t="str">
        <f t="shared" si="4"/>
        <v/>
      </c>
      <c r="N22" s="23" t="str">
        <f t="shared" si="4"/>
        <v/>
      </c>
      <c r="O22" s="23" t="str">
        <f t="shared" si="4"/>
        <v/>
      </c>
      <c r="P22" s="23" t="str">
        <f t="shared" si="4"/>
        <v/>
      </c>
      <c r="Q22" s="23" t="str">
        <f t="shared" si="4"/>
        <v/>
      </c>
      <c r="R22" s="23" t="str">
        <f t="shared" si="4"/>
        <v/>
      </c>
      <c r="S22" s="23" t="str">
        <f t="shared" si="4"/>
        <v/>
      </c>
      <c r="T22" s="23" t="str">
        <f t="shared" si="4"/>
        <v/>
      </c>
      <c r="U22" s="23" t="str">
        <f t="shared" si="4"/>
        <v/>
      </c>
      <c r="V22" s="23" t="str">
        <f t="shared" si="4"/>
        <v/>
      </c>
      <c r="W22" s="23" t="str">
        <f t="shared" si="4"/>
        <v/>
      </c>
      <c r="X22" s="23" t="str">
        <f t="shared" si="4"/>
        <v/>
      </c>
      <c r="Y22" s="23" t="str">
        <f t="shared" si="4"/>
        <v/>
      </c>
      <c r="Z22" s="23" t="str">
        <f t="shared" si="4"/>
        <v>u</v>
      </c>
      <c r="AA22" s="23" t="str">
        <f t="shared" si="5"/>
        <v/>
      </c>
      <c r="AB22" s="23" t="str">
        <f t="shared" si="5"/>
        <v/>
      </c>
      <c r="AC22" s="23" t="str">
        <f t="shared" si="5"/>
        <v/>
      </c>
      <c r="AD22" s="23" t="str">
        <f t="shared" si="5"/>
        <v/>
      </c>
      <c r="AE22" s="23" t="str">
        <f t="shared" si="5"/>
        <v/>
      </c>
      <c r="AF22" s="23" t="str">
        <f t="shared" si="5"/>
        <v/>
      </c>
      <c r="AG22" s="23" t="str">
        <f t="shared" si="5"/>
        <v/>
      </c>
      <c r="AH22" s="23" t="str">
        <f t="shared" si="5"/>
        <v/>
      </c>
      <c r="AI22" s="23" t="str">
        <f t="shared" si="5"/>
        <v/>
      </c>
      <c r="AJ22" s="23" t="str">
        <f t="shared" si="5"/>
        <v/>
      </c>
      <c r="AK22" s="23" t="str">
        <f t="shared" si="5"/>
        <v/>
      </c>
      <c r="AL22" s="23" t="str">
        <f t="shared" si="5"/>
        <v/>
      </c>
      <c r="AM22" s="23" t="str">
        <f t="shared" si="5"/>
        <v/>
      </c>
      <c r="AN22" s="23" t="str">
        <f t="shared" si="5"/>
        <v/>
      </c>
      <c r="AO22" s="23" t="str">
        <f t="shared" si="5"/>
        <v/>
      </c>
      <c r="AP22" s="23" t="str">
        <f t="shared" si="5"/>
        <v/>
      </c>
      <c r="AQ22" s="23" t="str">
        <f t="shared" si="3"/>
        <v/>
      </c>
      <c r="AR22" s="23" t="str">
        <f t="shared" si="3"/>
        <v/>
      </c>
      <c r="AS22" s="23" t="str">
        <f t="shared" si="3"/>
        <v/>
      </c>
      <c r="AT22" s="23" t="str">
        <f t="shared" si="3"/>
        <v/>
      </c>
      <c r="AU22" s="23" t="str">
        <f t="shared" si="3"/>
        <v/>
      </c>
      <c r="AV22" s="23" t="str">
        <f t="shared" si="3"/>
        <v/>
      </c>
      <c r="AW22" s="23" t="str">
        <f t="shared" si="3"/>
        <v/>
      </c>
    </row>
    <row r="23" spans="1:49" x14ac:dyDescent="0.35">
      <c r="A23" s="29"/>
      <c r="B23" s="29"/>
      <c r="C23" s="29"/>
      <c r="D23" s="38"/>
      <c r="E23" s="38"/>
      <c r="F23" s="39"/>
      <c r="G23" s="40"/>
      <c r="H23" s="47"/>
      <c r="I23" s="41"/>
      <c r="J23" s="35"/>
      <c r="K23" s="3" t="str">
        <f t="shared" si="4"/>
        <v/>
      </c>
      <c r="L23" s="3" t="str">
        <f t="shared" si="4"/>
        <v/>
      </c>
      <c r="M23" s="3" t="str">
        <f t="shared" si="4"/>
        <v/>
      </c>
      <c r="N23" s="23" t="str">
        <f t="shared" si="4"/>
        <v/>
      </c>
      <c r="O23" s="23" t="str">
        <f t="shared" si="4"/>
        <v/>
      </c>
      <c r="P23" s="23" t="str">
        <f t="shared" si="4"/>
        <v/>
      </c>
      <c r="Q23" s="23" t="str">
        <f t="shared" si="4"/>
        <v/>
      </c>
      <c r="R23" s="23" t="str">
        <f t="shared" si="4"/>
        <v/>
      </c>
      <c r="S23" s="23" t="str">
        <f t="shared" si="4"/>
        <v/>
      </c>
      <c r="T23" s="23" t="str">
        <f t="shared" si="4"/>
        <v/>
      </c>
      <c r="U23" s="23" t="str">
        <f t="shared" si="4"/>
        <v/>
      </c>
      <c r="V23" s="23" t="str">
        <f t="shared" si="4"/>
        <v/>
      </c>
      <c r="W23" s="23" t="str">
        <f t="shared" si="4"/>
        <v/>
      </c>
      <c r="X23" s="23" t="str">
        <f t="shared" si="4"/>
        <v/>
      </c>
      <c r="Y23" s="23" t="str">
        <f t="shared" si="4"/>
        <v/>
      </c>
      <c r="Z23" s="23" t="str">
        <f t="shared" si="4"/>
        <v/>
      </c>
      <c r="AA23" s="23" t="str">
        <f t="shared" si="5"/>
        <v/>
      </c>
      <c r="AB23" s="23" t="str">
        <f t="shared" si="5"/>
        <v/>
      </c>
      <c r="AC23" s="23" t="str">
        <f t="shared" si="5"/>
        <v/>
      </c>
      <c r="AD23" s="23" t="str">
        <f t="shared" si="5"/>
        <v/>
      </c>
      <c r="AE23" s="23" t="str">
        <f t="shared" si="5"/>
        <v/>
      </c>
      <c r="AF23" s="23" t="str">
        <f t="shared" si="5"/>
        <v/>
      </c>
      <c r="AG23" s="23" t="str">
        <f t="shared" si="5"/>
        <v/>
      </c>
      <c r="AH23" s="23" t="str">
        <f t="shared" si="5"/>
        <v/>
      </c>
      <c r="AI23" s="23" t="str">
        <f t="shared" si="5"/>
        <v/>
      </c>
      <c r="AJ23" s="23" t="str">
        <f t="shared" si="5"/>
        <v/>
      </c>
      <c r="AK23" s="23" t="str">
        <f t="shared" si="5"/>
        <v/>
      </c>
      <c r="AL23" s="23" t="str">
        <f t="shared" si="5"/>
        <v/>
      </c>
      <c r="AM23" s="23" t="str">
        <f t="shared" si="5"/>
        <v/>
      </c>
      <c r="AN23" s="23" t="str">
        <f t="shared" si="5"/>
        <v/>
      </c>
      <c r="AO23" s="23" t="str">
        <f t="shared" si="5"/>
        <v/>
      </c>
      <c r="AP23" s="23" t="str">
        <f t="shared" si="5"/>
        <v/>
      </c>
      <c r="AQ23" s="23" t="str">
        <f t="shared" si="3"/>
        <v/>
      </c>
      <c r="AR23" s="23" t="str">
        <f t="shared" si="3"/>
        <v/>
      </c>
      <c r="AS23" s="23" t="str">
        <f t="shared" si="3"/>
        <v/>
      </c>
      <c r="AT23" s="23" t="str">
        <f t="shared" si="3"/>
        <v/>
      </c>
      <c r="AU23" s="23" t="str">
        <f t="shared" si="3"/>
        <v/>
      </c>
      <c r="AV23" s="23" t="str">
        <f t="shared" si="3"/>
        <v/>
      </c>
      <c r="AW23" s="23" t="str">
        <f t="shared" si="3"/>
        <v/>
      </c>
    </row>
  </sheetData>
  <autoFilter ref="A3:AX23" xr:uid="{383C9D74-3CE4-4A4B-AE65-56E8EE91EC0D}"/>
  <mergeCells count="10">
    <mergeCell ref="AI1:AL1"/>
    <mergeCell ref="AM1:AP1"/>
    <mergeCell ref="AQ1:AT1"/>
    <mergeCell ref="AU1:AX1"/>
    <mergeCell ref="K1:N1"/>
    <mergeCell ref="O1:R1"/>
    <mergeCell ref="S1:V1"/>
    <mergeCell ref="W1:Z1"/>
    <mergeCell ref="AA1:AD1"/>
    <mergeCell ref="AE1:AH1"/>
  </mergeCells>
  <conditionalFormatting sqref="H3:H21">
    <cfRule type="cellIs" dxfId="21" priority="3" operator="equal">
      <formula>"AT RISK"</formula>
    </cfRule>
    <cfRule type="cellIs" dxfId="20" priority="4" operator="equal">
      <formula>"DONE"</formula>
    </cfRule>
    <cfRule type="cellIs" dxfId="19" priority="6" operator="equal">
      <formula>"NOT SARTED"</formula>
    </cfRule>
    <cfRule type="cellIs" dxfId="18" priority="7" operator="equal">
      <formula>"IN PROGRESS"</formula>
    </cfRule>
    <cfRule type="cellIs" dxfId="17" priority="8" operator="equal">
      <formula>"BLOCKED"</formula>
    </cfRule>
  </conditionalFormatting>
  <conditionalFormatting sqref="K4:AW23">
    <cfRule type="expression" dxfId="16" priority="1">
      <formula>AND(K$2&gt;$D4-(WEEKDAY($D4,2)+1),K$2 &lt; $F4,$J4="CP")</formula>
    </cfRule>
    <cfRule type="expression" dxfId="15" priority="2">
      <formula>AND(K$2&gt;$D4-(WEEKDAY($D4,2)+1),K$2 &lt; $F4,$A4="H")</formula>
    </cfRule>
    <cfRule type="expression" dxfId="14" priority="5">
      <formula>AND(K$2&gt;$D4-(WEEKDAY($D4,2)+1),K$2 &lt; $F4)</formula>
    </cfRule>
    <cfRule type="expression" dxfId="13" priority="11">
      <formula>AND($I4&gt;0, K$2 &lt;= ($D4+($F4-$D4)* $I4)-WEEKDAY(($D4+($F4-$D4)*$I4),2)+1, K$2 &gt;= $D4- WEEKDAY($D4, 2)+1)</formula>
    </cfRule>
  </conditionalFormatting>
  <conditionalFormatting sqref="D4:D22">
    <cfRule type="expression" dxfId="12" priority="9">
      <formula>$D4&lt;$C$2</formula>
    </cfRule>
  </conditionalFormatting>
  <conditionalFormatting sqref="A4:J4 A5:I22 J5:J23">
    <cfRule type="expression" dxfId="11" priority="10">
      <formula>$A4="H"</formula>
    </cfRule>
  </conditionalFormatting>
  <pageMargins left="0.7" right="0.7" top="0.75" bottom="0.75" header="0.3" footer="0.3"/>
  <pageSetup paperSize="9" orientation="portrait" r:id="rId1"/>
  <headerFooter>
    <oddFooter>&amp;C&amp;1#&amp;"Calibri"&amp;8&amp;K000000Commercial in Confidence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HeaderWorkingDays">
                <anchor moveWithCells="1">
                  <from>
                    <xdr:col>5</xdr:col>
                    <xdr:colOff>101600</xdr:colOff>
                    <xdr:row>0</xdr:row>
                    <xdr:rowOff>171450</xdr:rowOff>
                  </from>
                  <to>
                    <xdr:col>6</xdr:col>
                    <xdr:colOff>19050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roupTask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114300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RemoveGrouping">
                <anchor moveWithCells="1" sizeWithCells="1">
                  <from>
                    <xdr:col>0</xdr:col>
                    <xdr:colOff>6350</xdr:colOff>
                    <xdr:row>0</xdr:row>
                    <xdr:rowOff>177800</xdr:rowOff>
                  </from>
                  <to>
                    <xdr:col>1</xdr:col>
                    <xdr:colOff>101600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20CA2D-850D-455C-B534-DDEF67CD5FC8}">
          <x14:formula1>
            <xm:f>lkup!$A:$A</xm:f>
          </x14:formula1>
          <xm:sqref>H3:H21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9EDB1-1467-47FB-8DB6-AB3E9D780F3D}">
  <sheetPr codeName="Sheet6"/>
  <dimension ref="A1:AX27"/>
  <sheetViews>
    <sheetView tabSelected="1" zoomScale="99" zoomScaleNormal="84" workbookViewId="0">
      <pane xSplit="7520" ySplit="1160" topLeftCell="I1" activePane="bottomRight"/>
      <selection activeCell="J1" sqref="J1:J1048576"/>
      <selection pane="topRight" activeCell="K1" sqref="K1"/>
      <selection pane="bottomLeft" activeCell="A27" sqref="A27"/>
      <selection pane="bottomRight" activeCell="J15" sqref="J15"/>
    </sheetView>
  </sheetViews>
  <sheetFormatPr defaultColWidth="5.6328125" defaultRowHeight="14.5" outlineLevelRow="1" x14ac:dyDescent="0.35"/>
  <cols>
    <col min="1" max="1" width="4.26953125" bestFit="1" customWidth="1"/>
    <col min="2" max="2" width="17.08984375" customWidth="1"/>
    <col min="3" max="3" width="12.08984375" customWidth="1"/>
    <col min="4" max="4" width="10.6328125" style="6" bestFit="1" customWidth="1"/>
    <col min="5" max="5" width="6.6328125" style="6" customWidth="1"/>
    <col min="6" max="6" width="9" style="54" bestFit="1" customWidth="1"/>
    <col min="7" max="7" width="12.7265625" style="9" customWidth="1"/>
    <col min="8" max="8" width="10.453125" style="2" bestFit="1" customWidth="1"/>
    <col min="9" max="9" width="6.453125" style="6" customWidth="1"/>
    <col min="10" max="10" width="5.7265625" style="60" customWidth="1"/>
    <col min="11" max="13" width="7.81640625" customWidth="1"/>
    <col min="14" max="50" width="6.81640625" style="25" customWidth="1"/>
  </cols>
  <sheetData>
    <row r="1" spans="1:50" x14ac:dyDescent="0.35">
      <c r="B1" s="19" t="s">
        <v>31</v>
      </c>
      <c r="F1" s="53"/>
      <c r="H1" s="58"/>
      <c r="I1" s="6" t="s">
        <v>28</v>
      </c>
      <c r="K1" s="27">
        <f>+L2</f>
        <v>44995</v>
      </c>
      <c r="L1" s="27"/>
      <c r="M1" s="27"/>
      <c r="N1" s="27"/>
      <c r="O1" s="26">
        <f>+P2</f>
        <v>45023</v>
      </c>
      <c r="P1" s="26"/>
      <c r="Q1" s="26"/>
      <c r="R1" s="26"/>
      <c r="S1" s="26">
        <f>+T2</f>
        <v>45051</v>
      </c>
      <c r="T1" s="26"/>
      <c r="U1" s="26"/>
      <c r="V1" s="26"/>
      <c r="W1" s="26">
        <f>+X2</f>
        <v>45079</v>
      </c>
      <c r="X1" s="26"/>
      <c r="Y1" s="26"/>
      <c r="Z1" s="26"/>
      <c r="AA1" s="26">
        <f>+AB2</f>
        <v>45107</v>
      </c>
      <c r="AB1" s="26"/>
      <c r="AC1" s="26"/>
      <c r="AD1" s="26"/>
      <c r="AE1" s="26">
        <f>+AF2</f>
        <v>45135</v>
      </c>
      <c r="AF1" s="26"/>
      <c r="AG1" s="26"/>
      <c r="AH1" s="26"/>
      <c r="AI1" s="26">
        <f>+AJ2</f>
        <v>45163</v>
      </c>
      <c r="AJ1" s="26"/>
      <c r="AK1" s="26"/>
      <c r="AL1" s="26"/>
      <c r="AM1" s="26">
        <f>+AN2</f>
        <v>45191</v>
      </c>
      <c r="AN1" s="26"/>
      <c r="AO1" s="26"/>
      <c r="AP1" s="26"/>
      <c r="AQ1" s="26">
        <f>+AR2</f>
        <v>45219</v>
      </c>
      <c r="AR1" s="26"/>
      <c r="AS1" s="26"/>
      <c r="AT1" s="26"/>
      <c r="AU1" s="26">
        <f>+AV2</f>
        <v>45247</v>
      </c>
      <c r="AV1" s="26"/>
      <c r="AW1" s="26"/>
      <c r="AX1" s="26"/>
    </row>
    <row r="2" spans="1:50" x14ac:dyDescent="0.35">
      <c r="B2" s="19" t="s">
        <v>30</v>
      </c>
      <c r="C2" s="5">
        <v>44995</v>
      </c>
      <c r="G2" s="10"/>
      <c r="I2" s="48" t="s">
        <v>29</v>
      </c>
      <c r="J2" s="61"/>
      <c r="K2" s="59">
        <f>+C2+6-WEEKDAY(C2)-7</f>
        <v>44988</v>
      </c>
      <c r="L2" s="59">
        <f>K2+7</f>
        <v>44995</v>
      </c>
      <c r="M2" s="59">
        <f t="shared" ref="M2:AW2" si="0">L2+7</f>
        <v>45002</v>
      </c>
      <c r="N2" s="59">
        <f t="shared" si="0"/>
        <v>45009</v>
      </c>
      <c r="O2" s="59">
        <f t="shared" si="0"/>
        <v>45016</v>
      </c>
      <c r="P2" s="59">
        <f t="shared" si="0"/>
        <v>45023</v>
      </c>
      <c r="Q2" s="59">
        <f t="shared" si="0"/>
        <v>45030</v>
      </c>
      <c r="R2" s="59">
        <f t="shared" si="0"/>
        <v>45037</v>
      </c>
      <c r="S2" s="59">
        <f t="shared" si="0"/>
        <v>45044</v>
      </c>
      <c r="T2" s="59">
        <f t="shared" si="0"/>
        <v>45051</v>
      </c>
      <c r="U2" s="59">
        <f t="shared" si="0"/>
        <v>45058</v>
      </c>
      <c r="V2" s="59">
        <f t="shared" si="0"/>
        <v>45065</v>
      </c>
      <c r="W2" s="59">
        <f t="shared" si="0"/>
        <v>45072</v>
      </c>
      <c r="X2" s="59">
        <f t="shared" si="0"/>
        <v>45079</v>
      </c>
      <c r="Y2" s="59">
        <f t="shared" si="0"/>
        <v>45086</v>
      </c>
      <c r="Z2" s="59">
        <f t="shared" si="0"/>
        <v>45093</v>
      </c>
      <c r="AA2" s="59">
        <f t="shared" si="0"/>
        <v>45100</v>
      </c>
      <c r="AB2" s="59">
        <f t="shared" si="0"/>
        <v>45107</v>
      </c>
      <c r="AC2" s="59">
        <f t="shared" si="0"/>
        <v>45114</v>
      </c>
      <c r="AD2" s="59">
        <f t="shared" si="0"/>
        <v>45121</v>
      </c>
      <c r="AE2" s="59">
        <f t="shared" si="0"/>
        <v>45128</v>
      </c>
      <c r="AF2" s="59">
        <f t="shared" si="0"/>
        <v>45135</v>
      </c>
      <c r="AG2" s="59">
        <f t="shared" si="0"/>
        <v>45142</v>
      </c>
      <c r="AH2" s="59">
        <f t="shared" si="0"/>
        <v>45149</v>
      </c>
      <c r="AI2" s="59">
        <f t="shared" si="0"/>
        <v>45156</v>
      </c>
      <c r="AJ2" s="59">
        <f t="shared" si="0"/>
        <v>45163</v>
      </c>
      <c r="AK2" s="59">
        <f t="shared" si="0"/>
        <v>45170</v>
      </c>
      <c r="AL2" s="59">
        <f t="shared" si="0"/>
        <v>45177</v>
      </c>
      <c r="AM2" s="59">
        <f t="shared" si="0"/>
        <v>45184</v>
      </c>
      <c r="AN2" s="59">
        <f t="shared" si="0"/>
        <v>45191</v>
      </c>
      <c r="AO2" s="59">
        <f t="shared" si="0"/>
        <v>45198</v>
      </c>
      <c r="AP2" s="59">
        <f t="shared" si="0"/>
        <v>45205</v>
      </c>
      <c r="AQ2" s="59">
        <f t="shared" si="0"/>
        <v>45212</v>
      </c>
      <c r="AR2" s="59">
        <f t="shared" si="0"/>
        <v>45219</v>
      </c>
      <c r="AS2" s="59">
        <f t="shared" si="0"/>
        <v>45226</v>
      </c>
      <c r="AT2" s="59">
        <f t="shared" si="0"/>
        <v>45233</v>
      </c>
      <c r="AU2" s="59">
        <f t="shared" si="0"/>
        <v>45240</v>
      </c>
      <c r="AV2" s="59">
        <f t="shared" si="0"/>
        <v>45247</v>
      </c>
      <c r="AW2" s="59">
        <f t="shared" si="0"/>
        <v>45254</v>
      </c>
      <c r="AX2" s="21"/>
    </row>
    <row r="3" spans="1:50" s="11" customFormat="1" x14ac:dyDescent="0.35">
      <c r="A3" s="11" t="s">
        <v>21</v>
      </c>
      <c r="B3" s="12" t="s">
        <v>7</v>
      </c>
      <c r="C3" s="12" t="s">
        <v>6</v>
      </c>
      <c r="D3" s="13" t="s">
        <v>0</v>
      </c>
      <c r="E3" s="13" t="s">
        <v>32</v>
      </c>
      <c r="F3" s="55" t="s">
        <v>1</v>
      </c>
      <c r="G3" s="15" t="s">
        <v>18</v>
      </c>
      <c r="H3" s="16" t="s">
        <v>26</v>
      </c>
      <c r="I3" s="17" t="s">
        <v>39</v>
      </c>
      <c r="J3" s="62" t="s">
        <v>37</v>
      </c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</row>
    <row r="4" spans="1:50" s="4" customFormat="1" x14ac:dyDescent="0.35">
      <c r="A4" s="29" t="s">
        <v>22</v>
      </c>
      <c r="B4" s="29" t="s">
        <v>33</v>
      </c>
      <c r="C4" s="29" t="s">
        <v>14</v>
      </c>
      <c r="D4" s="51">
        <v>44998</v>
      </c>
      <c r="E4" s="31">
        <v>30</v>
      </c>
      <c r="F4" s="56">
        <v>45058</v>
      </c>
      <c r="G4" s="33"/>
      <c r="H4" s="34" t="s">
        <v>4</v>
      </c>
      <c r="I4" s="35"/>
      <c r="J4" s="63" t="s">
        <v>37</v>
      </c>
      <c r="K4" s="3" t="str">
        <f t="shared" ref="K4:AW14" si="1">IF(K$2=$F4+7-WEEKDAY($F4,2)-2,"u","")</f>
        <v/>
      </c>
      <c r="L4" s="3" t="str">
        <f t="shared" si="1"/>
        <v/>
      </c>
      <c r="M4" s="3" t="str">
        <f t="shared" si="1"/>
        <v/>
      </c>
      <c r="N4" s="23" t="str">
        <f t="shared" si="1"/>
        <v/>
      </c>
      <c r="O4" s="23" t="str">
        <f t="shared" si="1"/>
        <v/>
      </c>
      <c r="P4" s="23" t="str">
        <f t="shared" si="1"/>
        <v/>
      </c>
      <c r="Q4" s="23" t="str">
        <f t="shared" si="1"/>
        <v/>
      </c>
      <c r="R4" s="23" t="str">
        <f t="shared" si="1"/>
        <v/>
      </c>
      <c r="S4" s="23" t="str">
        <f t="shared" si="1"/>
        <v/>
      </c>
      <c r="T4" s="23" t="str">
        <f t="shared" si="1"/>
        <v/>
      </c>
      <c r="U4" s="23" t="str">
        <f t="shared" si="1"/>
        <v>u</v>
      </c>
      <c r="V4" s="23" t="str">
        <f t="shared" si="1"/>
        <v/>
      </c>
      <c r="W4" s="23" t="str">
        <f t="shared" si="1"/>
        <v/>
      </c>
      <c r="X4" s="23" t="str">
        <f t="shared" si="1"/>
        <v/>
      </c>
      <c r="Y4" s="23" t="str">
        <f t="shared" si="1"/>
        <v/>
      </c>
      <c r="Z4" s="23" t="str">
        <f t="shared" si="1"/>
        <v/>
      </c>
      <c r="AA4" s="23" t="str">
        <f t="shared" si="1"/>
        <v/>
      </c>
      <c r="AB4" s="23" t="str">
        <f t="shared" si="1"/>
        <v/>
      </c>
      <c r="AC4" s="23" t="str">
        <f t="shared" si="1"/>
        <v/>
      </c>
      <c r="AD4" s="23" t="str">
        <f t="shared" si="1"/>
        <v/>
      </c>
      <c r="AE4" s="23" t="str">
        <f t="shared" si="1"/>
        <v/>
      </c>
      <c r="AF4" s="23" t="str">
        <f t="shared" si="1"/>
        <v/>
      </c>
      <c r="AG4" s="23" t="str">
        <f t="shared" si="1"/>
        <v/>
      </c>
      <c r="AH4" s="23" t="str">
        <f t="shared" si="1"/>
        <v/>
      </c>
      <c r="AI4" s="23" t="str">
        <f t="shared" si="1"/>
        <v/>
      </c>
      <c r="AJ4" s="23" t="str">
        <f t="shared" si="1"/>
        <v/>
      </c>
      <c r="AK4" s="23" t="str">
        <f t="shared" si="1"/>
        <v/>
      </c>
      <c r="AL4" s="23" t="str">
        <f t="shared" si="1"/>
        <v/>
      </c>
      <c r="AM4" s="23" t="str">
        <f t="shared" si="1"/>
        <v/>
      </c>
      <c r="AN4" s="23" t="str">
        <f t="shared" si="1"/>
        <v/>
      </c>
      <c r="AO4" s="23" t="str">
        <f t="shared" si="1"/>
        <v/>
      </c>
      <c r="AP4" s="23" t="str">
        <f t="shared" si="1"/>
        <v/>
      </c>
      <c r="AQ4" s="23" t="str">
        <f t="shared" si="1"/>
        <v/>
      </c>
      <c r="AR4" s="23" t="str">
        <f t="shared" si="1"/>
        <v/>
      </c>
      <c r="AS4" s="23" t="str">
        <f t="shared" si="1"/>
        <v/>
      </c>
      <c r="AT4" s="23" t="str">
        <f t="shared" si="1"/>
        <v/>
      </c>
      <c r="AU4" s="23" t="str">
        <f t="shared" si="1"/>
        <v/>
      </c>
      <c r="AV4" s="23" t="str">
        <f t="shared" si="1"/>
        <v/>
      </c>
      <c r="AW4" s="23" t="str">
        <f t="shared" si="1"/>
        <v/>
      </c>
      <c r="AX4" s="24"/>
    </row>
    <row r="5" spans="1:50" s="50" customFormat="1" outlineLevel="1" x14ac:dyDescent="0.35">
      <c r="A5" s="50" t="s">
        <v>23</v>
      </c>
      <c r="B5" s="50" t="s">
        <v>34</v>
      </c>
      <c r="C5" s="50">
        <v>1</v>
      </c>
      <c r="D5" s="52">
        <v>44998</v>
      </c>
      <c r="E5" s="50">
        <v>10</v>
      </c>
      <c r="F5" s="52">
        <f t="shared" ref="F5:F26" si="2">WORKDAY(D5,E5)</f>
        <v>45012</v>
      </c>
      <c r="H5" s="2" t="s">
        <v>5</v>
      </c>
      <c r="I5" s="50">
        <v>0.5</v>
      </c>
      <c r="J5" s="64" t="s">
        <v>37</v>
      </c>
      <c r="K5" s="50" t="str">
        <f t="shared" si="1"/>
        <v/>
      </c>
      <c r="L5" s="50" t="str">
        <f t="shared" si="1"/>
        <v/>
      </c>
      <c r="M5" s="57" t="str">
        <f t="shared" si="1"/>
        <v/>
      </c>
      <c r="N5" s="57" t="str">
        <f t="shared" si="1"/>
        <v/>
      </c>
      <c r="O5" s="57" t="str">
        <f t="shared" si="1"/>
        <v>u</v>
      </c>
      <c r="P5" s="57" t="str">
        <f t="shared" si="1"/>
        <v/>
      </c>
      <c r="Q5" s="57" t="str">
        <f t="shared" si="1"/>
        <v/>
      </c>
      <c r="R5" s="57" t="str">
        <f t="shared" si="1"/>
        <v/>
      </c>
      <c r="S5" s="57" t="str">
        <f t="shared" si="1"/>
        <v/>
      </c>
      <c r="T5" s="57" t="str">
        <f t="shared" si="1"/>
        <v/>
      </c>
      <c r="U5" s="57" t="str">
        <f t="shared" si="1"/>
        <v/>
      </c>
      <c r="V5" s="57" t="str">
        <f t="shared" si="1"/>
        <v/>
      </c>
      <c r="W5" s="57" t="str">
        <f t="shared" si="1"/>
        <v/>
      </c>
      <c r="X5" s="57" t="str">
        <f t="shared" si="1"/>
        <v/>
      </c>
      <c r="Y5" s="57" t="str">
        <f t="shared" si="1"/>
        <v/>
      </c>
      <c r="Z5" s="57" t="str">
        <f t="shared" si="1"/>
        <v/>
      </c>
      <c r="AA5" s="57" t="str">
        <f t="shared" si="1"/>
        <v/>
      </c>
      <c r="AB5" s="57" t="str">
        <f t="shared" si="1"/>
        <v/>
      </c>
      <c r="AC5" s="57" t="str">
        <f t="shared" si="1"/>
        <v/>
      </c>
      <c r="AD5" s="57" t="str">
        <f t="shared" si="1"/>
        <v/>
      </c>
      <c r="AE5" s="57" t="str">
        <f t="shared" si="1"/>
        <v/>
      </c>
      <c r="AF5" s="57" t="str">
        <f t="shared" si="1"/>
        <v/>
      </c>
      <c r="AG5" s="57" t="str">
        <f t="shared" si="1"/>
        <v/>
      </c>
      <c r="AH5" s="57" t="str">
        <f t="shared" si="1"/>
        <v/>
      </c>
      <c r="AI5" s="57" t="str">
        <f t="shared" si="1"/>
        <v/>
      </c>
      <c r="AJ5" s="57" t="str">
        <f t="shared" si="1"/>
        <v/>
      </c>
      <c r="AK5" s="57" t="str">
        <f t="shared" si="1"/>
        <v/>
      </c>
      <c r="AL5" s="57" t="str">
        <f t="shared" si="1"/>
        <v/>
      </c>
      <c r="AM5" s="57" t="str">
        <f t="shared" si="1"/>
        <v/>
      </c>
      <c r="AN5" s="57" t="str">
        <f t="shared" si="1"/>
        <v/>
      </c>
      <c r="AO5" s="57" t="str">
        <f t="shared" si="1"/>
        <v/>
      </c>
      <c r="AP5" s="57" t="str">
        <f t="shared" si="1"/>
        <v/>
      </c>
      <c r="AQ5" s="57" t="str">
        <f t="shared" si="1"/>
        <v/>
      </c>
      <c r="AR5" s="57" t="str">
        <f t="shared" si="1"/>
        <v/>
      </c>
      <c r="AS5" s="57" t="str">
        <f t="shared" si="1"/>
        <v/>
      </c>
      <c r="AT5" s="57" t="str">
        <f t="shared" si="1"/>
        <v/>
      </c>
      <c r="AU5" s="57" t="str">
        <f t="shared" si="1"/>
        <v/>
      </c>
      <c r="AV5" s="57" t="str">
        <f t="shared" si="1"/>
        <v/>
      </c>
      <c r="AW5" s="57" t="str">
        <f t="shared" si="1"/>
        <v/>
      </c>
    </row>
    <row r="6" spans="1:50" s="50" customFormat="1" outlineLevel="1" x14ac:dyDescent="0.35">
      <c r="A6" s="50" t="s">
        <v>23</v>
      </c>
      <c r="B6" s="50" t="s">
        <v>35</v>
      </c>
      <c r="C6" s="50">
        <v>2</v>
      </c>
      <c r="D6" s="52">
        <f>+F5</f>
        <v>45012</v>
      </c>
      <c r="E6" s="50">
        <v>10</v>
      </c>
      <c r="F6" s="52">
        <v>45045</v>
      </c>
      <c r="H6" s="2" t="s">
        <v>27</v>
      </c>
      <c r="I6" s="50">
        <v>0.5</v>
      </c>
      <c r="J6" s="64" t="s">
        <v>37</v>
      </c>
      <c r="K6" s="50" t="str">
        <f t="shared" si="1"/>
        <v/>
      </c>
      <c r="L6" s="50" t="str">
        <f t="shared" si="1"/>
        <v/>
      </c>
      <c r="M6" s="57" t="str">
        <f t="shared" si="1"/>
        <v/>
      </c>
      <c r="N6" s="57" t="str">
        <f t="shared" si="1"/>
        <v/>
      </c>
      <c r="O6" s="57" t="str">
        <f t="shared" si="1"/>
        <v/>
      </c>
      <c r="P6" s="57" t="str">
        <f t="shared" si="1"/>
        <v/>
      </c>
      <c r="Q6" s="57" t="str">
        <f t="shared" si="1"/>
        <v/>
      </c>
      <c r="R6" s="57" t="str">
        <f t="shared" si="1"/>
        <v/>
      </c>
      <c r="S6" s="57" t="str">
        <f t="shared" si="1"/>
        <v>u</v>
      </c>
      <c r="T6" s="57" t="str">
        <f t="shared" si="1"/>
        <v/>
      </c>
      <c r="U6" s="57" t="str">
        <f t="shared" si="1"/>
        <v/>
      </c>
      <c r="V6" s="57" t="str">
        <f t="shared" si="1"/>
        <v/>
      </c>
      <c r="W6" s="57" t="str">
        <f t="shared" si="1"/>
        <v/>
      </c>
      <c r="X6" s="57" t="str">
        <f t="shared" si="1"/>
        <v/>
      </c>
      <c r="Y6" s="57" t="str">
        <f t="shared" si="1"/>
        <v/>
      </c>
      <c r="Z6" s="57" t="str">
        <f t="shared" si="1"/>
        <v/>
      </c>
      <c r="AA6" s="57" t="str">
        <f t="shared" si="1"/>
        <v/>
      </c>
      <c r="AB6" s="57" t="str">
        <f t="shared" si="1"/>
        <v/>
      </c>
      <c r="AC6" s="57" t="str">
        <f t="shared" si="1"/>
        <v/>
      </c>
      <c r="AD6" s="57" t="str">
        <f t="shared" si="1"/>
        <v/>
      </c>
      <c r="AE6" s="57" t="str">
        <f t="shared" si="1"/>
        <v/>
      </c>
      <c r="AF6" s="57" t="str">
        <f t="shared" si="1"/>
        <v/>
      </c>
      <c r="AG6" s="57" t="str">
        <f t="shared" si="1"/>
        <v/>
      </c>
      <c r="AH6" s="57" t="str">
        <f t="shared" si="1"/>
        <v/>
      </c>
      <c r="AI6" s="57" t="str">
        <f t="shared" si="1"/>
        <v/>
      </c>
      <c r="AJ6" s="57" t="str">
        <f t="shared" si="1"/>
        <v/>
      </c>
      <c r="AK6" s="57" t="str">
        <f t="shared" si="1"/>
        <v/>
      </c>
      <c r="AL6" s="57" t="str">
        <f t="shared" si="1"/>
        <v/>
      </c>
      <c r="AM6" s="57" t="str">
        <f t="shared" si="1"/>
        <v/>
      </c>
      <c r="AN6" s="57" t="str">
        <f t="shared" si="1"/>
        <v/>
      </c>
      <c r="AO6" s="57" t="str">
        <f t="shared" si="1"/>
        <v/>
      </c>
      <c r="AP6" s="57" t="str">
        <f t="shared" si="1"/>
        <v/>
      </c>
      <c r="AQ6" s="57" t="str">
        <f t="shared" si="1"/>
        <v/>
      </c>
      <c r="AR6" s="57" t="str">
        <f t="shared" si="1"/>
        <v/>
      </c>
      <c r="AS6" s="57" t="str">
        <f t="shared" si="1"/>
        <v/>
      </c>
      <c r="AT6" s="57" t="str">
        <f t="shared" si="1"/>
        <v/>
      </c>
      <c r="AU6" s="57" t="str">
        <f t="shared" si="1"/>
        <v/>
      </c>
      <c r="AV6" s="57" t="str">
        <f t="shared" si="1"/>
        <v/>
      </c>
      <c r="AW6" s="57" t="str">
        <f t="shared" si="1"/>
        <v/>
      </c>
    </row>
    <row r="7" spans="1:50" s="50" customFormat="1" outlineLevel="1" x14ac:dyDescent="0.35">
      <c r="A7" s="50" t="s">
        <v>23</v>
      </c>
      <c r="B7" s="50" t="s">
        <v>36</v>
      </c>
      <c r="C7" s="50">
        <v>3</v>
      </c>
      <c r="D7" s="52">
        <f>+F6</f>
        <v>45045</v>
      </c>
      <c r="E7" s="50">
        <v>10</v>
      </c>
      <c r="F7" s="52">
        <f t="shared" si="2"/>
        <v>45058</v>
      </c>
      <c r="H7" s="2" t="s">
        <v>4</v>
      </c>
      <c r="I7" s="50">
        <v>0.5</v>
      </c>
      <c r="J7" s="64"/>
      <c r="K7" s="50" t="str">
        <f t="shared" si="1"/>
        <v/>
      </c>
      <c r="L7" s="50" t="str">
        <f t="shared" si="1"/>
        <v/>
      </c>
      <c r="M7" s="57" t="str">
        <f t="shared" si="1"/>
        <v/>
      </c>
      <c r="N7" s="57" t="str">
        <f t="shared" si="1"/>
        <v/>
      </c>
      <c r="O7" s="57" t="str">
        <f t="shared" si="1"/>
        <v/>
      </c>
      <c r="P7" s="57" t="str">
        <f t="shared" si="1"/>
        <v/>
      </c>
      <c r="Q7" s="57" t="str">
        <f t="shared" si="1"/>
        <v/>
      </c>
      <c r="R7" s="57" t="str">
        <f t="shared" si="1"/>
        <v/>
      </c>
      <c r="S7" s="57" t="str">
        <f t="shared" si="1"/>
        <v/>
      </c>
      <c r="T7" s="57" t="str">
        <f t="shared" si="1"/>
        <v/>
      </c>
      <c r="U7" s="57" t="str">
        <f t="shared" si="1"/>
        <v>u</v>
      </c>
      <c r="V7" s="57" t="str">
        <f t="shared" si="1"/>
        <v/>
      </c>
      <c r="W7" s="57" t="str">
        <f t="shared" si="1"/>
        <v/>
      </c>
      <c r="X7" s="57" t="str">
        <f t="shared" si="1"/>
        <v/>
      </c>
      <c r="Y7" s="57" t="str">
        <f t="shared" si="1"/>
        <v/>
      </c>
      <c r="Z7" s="57" t="str">
        <f t="shared" si="1"/>
        <v/>
      </c>
      <c r="AA7" s="57" t="str">
        <f t="shared" si="1"/>
        <v/>
      </c>
      <c r="AB7" s="57" t="str">
        <f t="shared" si="1"/>
        <v/>
      </c>
      <c r="AC7" s="57" t="str">
        <f t="shared" si="1"/>
        <v/>
      </c>
      <c r="AD7" s="57" t="str">
        <f t="shared" si="1"/>
        <v/>
      </c>
      <c r="AE7" s="57" t="str">
        <f t="shared" si="1"/>
        <v/>
      </c>
      <c r="AF7" s="57" t="str">
        <f t="shared" si="1"/>
        <v/>
      </c>
      <c r="AG7" s="57" t="str">
        <f t="shared" si="1"/>
        <v/>
      </c>
      <c r="AH7" s="57" t="str">
        <f t="shared" si="1"/>
        <v/>
      </c>
      <c r="AI7" s="57" t="str">
        <f t="shared" si="1"/>
        <v/>
      </c>
      <c r="AJ7" s="57" t="str">
        <f t="shared" si="1"/>
        <v/>
      </c>
      <c r="AK7" s="57" t="str">
        <f t="shared" si="1"/>
        <v/>
      </c>
      <c r="AL7" s="57" t="str">
        <f t="shared" si="1"/>
        <v/>
      </c>
      <c r="AM7" s="57" t="str">
        <f t="shared" si="1"/>
        <v/>
      </c>
      <c r="AN7" s="57" t="str">
        <f t="shared" si="1"/>
        <v/>
      </c>
      <c r="AO7" s="57" t="str">
        <f t="shared" si="1"/>
        <v/>
      </c>
      <c r="AP7" s="57" t="str">
        <f t="shared" si="1"/>
        <v/>
      </c>
      <c r="AQ7" s="57" t="str">
        <f t="shared" si="1"/>
        <v/>
      </c>
      <c r="AR7" s="57" t="str">
        <f t="shared" si="1"/>
        <v/>
      </c>
      <c r="AS7" s="57" t="str">
        <f t="shared" si="1"/>
        <v/>
      </c>
      <c r="AT7" s="57" t="str">
        <f t="shared" si="1"/>
        <v/>
      </c>
      <c r="AU7" s="57" t="str">
        <f t="shared" si="1"/>
        <v/>
      </c>
      <c r="AV7" s="57" t="str">
        <f t="shared" si="1"/>
        <v/>
      </c>
      <c r="AW7" s="57" t="str">
        <f t="shared" si="1"/>
        <v/>
      </c>
    </row>
    <row r="8" spans="1:50" x14ac:dyDescent="0.35">
      <c r="A8" s="29" t="s">
        <v>22</v>
      </c>
      <c r="B8" s="29" t="s">
        <v>15</v>
      </c>
      <c r="C8" s="29" t="s">
        <v>11</v>
      </c>
      <c r="D8" s="51">
        <v>45058</v>
      </c>
      <c r="E8" s="31">
        <v>1</v>
      </c>
      <c r="F8" s="56">
        <v>45061</v>
      </c>
      <c r="G8" s="33"/>
      <c r="H8" s="36" t="s">
        <v>4</v>
      </c>
      <c r="I8" s="35">
        <v>0</v>
      </c>
      <c r="J8" s="63" t="s">
        <v>38</v>
      </c>
      <c r="K8" s="3" t="str">
        <f t="shared" si="1"/>
        <v/>
      </c>
      <c r="L8" s="3" t="str">
        <f t="shared" si="1"/>
        <v/>
      </c>
      <c r="M8" s="3" t="str">
        <f t="shared" si="1"/>
        <v/>
      </c>
      <c r="N8" s="23" t="str">
        <f t="shared" si="1"/>
        <v/>
      </c>
      <c r="O8" s="23" t="str">
        <f t="shared" si="1"/>
        <v/>
      </c>
      <c r="P8" s="23" t="str">
        <f t="shared" si="1"/>
        <v/>
      </c>
      <c r="Q8" s="23" t="str">
        <f t="shared" si="1"/>
        <v/>
      </c>
      <c r="R8" s="23" t="str">
        <f t="shared" si="1"/>
        <v/>
      </c>
      <c r="S8" s="23" t="str">
        <f t="shared" si="1"/>
        <v/>
      </c>
      <c r="T8" s="23" t="str">
        <f t="shared" si="1"/>
        <v/>
      </c>
      <c r="U8" s="23" t="str">
        <f t="shared" si="1"/>
        <v/>
      </c>
      <c r="V8" s="23" t="str">
        <f t="shared" si="1"/>
        <v>u</v>
      </c>
      <c r="W8" s="23" t="str">
        <f t="shared" si="1"/>
        <v/>
      </c>
      <c r="X8" s="23" t="str">
        <f t="shared" si="1"/>
        <v/>
      </c>
      <c r="Y8" s="23" t="str">
        <f t="shared" si="1"/>
        <v/>
      </c>
      <c r="Z8" s="23" t="str">
        <f t="shared" si="1"/>
        <v/>
      </c>
      <c r="AA8" s="23" t="str">
        <f t="shared" si="1"/>
        <v/>
      </c>
      <c r="AB8" s="23" t="str">
        <f t="shared" si="1"/>
        <v/>
      </c>
      <c r="AC8" s="23" t="str">
        <f t="shared" si="1"/>
        <v/>
      </c>
      <c r="AD8" s="23" t="str">
        <f t="shared" si="1"/>
        <v/>
      </c>
      <c r="AE8" s="23" t="str">
        <f t="shared" si="1"/>
        <v/>
      </c>
      <c r="AF8" s="23" t="str">
        <f t="shared" si="1"/>
        <v/>
      </c>
      <c r="AG8" s="23" t="str">
        <f t="shared" si="1"/>
        <v/>
      </c>
      <c r="AH8" s="23" t="str">
        <f t="shared" si="1"/>
        <v/>
      </c>
      <c r="AI8" s="23" t="str">
        <f t="shared" si="1"/>
        <v/>
      </c>
      <c r="AJ8" s="23" t="str">
        <f t="shared" si="1"/>
        <v/>
      </c>
      <c r="AK8" s="23" t="str">
        <f t="shared" si="1"/>
        <v/>
      </c>
      <c r="AL8" s="23" t="str">
        <f t="shared" si="1"/>
        <v/>
      </c>
      <c r="AM8" s="23" t="str">
        <f t="shared" si="1"/>
        <v/>
      </c>
      <c r="AN8" s="23" t="str">
        <f t="shared" si="1"/>
        <v/>
      </c>
      <c r="AO8" s="23" t="str">
        <f t="shared" si="1"/>
        <v/>
      </c>
      <c r="AP8" s="23" t="str">
        <f t="shared" si="1"/>
        <v/>
      </c>
      <c r="AQ8" s="23" t="str">
        <f t="shared" si="1"/>
        <v/>
      </c>
      <c r="AR8" s="23" t="str">
        <f t="shared" si="1"/>
        <v/>
      </c>
      <c r="AS8" s="23" t="str">
        <f t="shared" si="1"/>
        <v/>
      </c>
      <c r="AT8" s="23" t="str">
        <f t="shared" si="1"/>
        <v/>
      </c>
      <c r="AU8" s="23" t="str">
        <f t="shared" si="1"/>
        <v/>
      </c>
      <c r="AV8" s="23" t="str">
        <f t="shared" si="1"/>
        <v/>
      </c>
      <c r="AW8" s="23" t="str">
        <f t="shared" si="1"/>
        <v/>
      </c>
    </row>
    <row r="9" spans="1:50" s="50" customFormat="1" outlineLevel="1" x14ac:dyDescent="0.35">
      <c r="A9" s="50" t="s">
        <v>23</v>
      </c>
      <c r="B9" s="50" t="s">
        <v>15</v>
      </c>
      <c r="C9" s="50" t="s">
        <v>12</v>
      </c>
      <c r="D9" s="52">
        <f>+F7</f>
        <v>45058</v>
      </c>
      <c r="E9" s="50">
        <v>1</v>
      </c>
      <c r="F9" s="52">
        <f t="shared" si="2"/>
        <v>45061</v>
      </c>
      <c r="H9" s="2" t="s">
        <v>16</v>
      </c>
      <c r="I9" s="50">
        <v>0</v>
      </c>
      <c r="J9" s="64" t="s">
        <v>38</v>
      </c>
      <c r="K9" s="50" t="str">
        <f t="shared" si="1"/>
        <v/>
      </c>
      <c r="L9" s="50" t="str">
        <f t="shared" si="1"/>
        <v/>
      </c>
      <c r="M9" s="57" t="str">
        <f t="shared" si="1"/>
        <v/>
      </c>
      <c r="N9" s="57" t="str">
        <f t="shared" si="1"/>
        <v/>
      </c>
      <c r="O9" s="57" t="str">
        <f t="shared" si="1"/>
        <v/>
      </c>
      <c r="P9" s="57" t="str">
        <f t="shared" si="1"/>
        <v/>
      </c>
      <c r="Q9" s="57" t="str">
        <f t="shared" si="1"/>
        <v/>
      </c>
      <c r="R9" s="57" t="str">
        <f t="shared" si="1"/>
        <v/>
      </c>
      <c r="S9" s="57" t="str">
        <f t="shared" si="1"/>
        <v/>
      </c>
      <c r="T9" s="57" t="str">
        <f t="shared" si="1"/>
        <v/>
      </c>
      <c r="U9" s="57" t="str">
        <f t="shared" si="1"/>
        <v/>
      </c>
      <c r="V9" s="57" t="str">
        <f t="shared" si="1"/>
        <v>u</v>
      </c>
      <c r="W9" s="57" t="str">
        <f t="shared" si="1"/>
        <v/>
      </c>
      <c r="X9" s="57" t="str">
        <f t="shared" si="1"/>
        <v/>
      </c>
      <c r="Y9" s="57" t="str">
        <f t="shared" si="1"/>
        <v/>
      </c>
      <c r="Z9" s="57" t="str">
        <f t="shared" si="1"/>
        <v/>
      </c>
      <c r="AA9" s="57" t="str">
        <f t="shared" si="1"/>
        <v/>
      </c>
      <c r="AB9" s="57" t="str">
        <f t="shared" si="1"/>
        <v/>
      </c>
      <c r="AC9" s="57" t="str">
        <f t="shared" si="1"/>
        <v/>
      </c>
      <c r="AD9" s="57" t="str">
        <f t="shared" si="1"/>
        <v/>
      </c>
      <c r="AE9" s="57" t="str">
        <f t="shared" si="1"/>
        <v/>
      </c>
      <c r="AF9" s="57" t="str">
        <f t="shared" si="1"/>
        <v/>
      </c>
      <c r="AG9" s="57" t="str">
        <f t="shared" si="1"/>
        <v/>
      </c>
      <c r="AH9" s="57" t="str">
        <f t="shared" si="1"/>
        <v/>
      </c>
      <c r="AI9" s="57" t="str">
        <f t="shared" si="1"/>
        <v/>
      </c>
      <c r="AJ9" s="57" t="str">
        <f t="shared" si="1"/>
        <v/>
      </c>
      <c r="AK9" s="57" t="str">
        <f t="shared" si="1"/>
        <v/>
      </c>
      <c r="AL9" s="57" t="str">
        <f t="shared" si="1"/>
        <v/>
      </c>
      <c r="AM9" s="57" t="str">
        <f t="shared" si="1"/>
        <v/>
      </c>
      <c r="AN9" s="57" t="str">
        <f t="shared" si="1"/>
        <v/>
      </c>
      <c r="AO9" s="57" t="str">
        <f t="shared" si="1"/>
        <v/>
      </c>
      <c r="AP9" s="57" t="str">
        <f t="shared" si="1"/>
        <v/>
      </c>
      <c r="AQ9" s="57" t="str">
        <f t="shared" si="1"/>
        <v/>
      </c>
      <c r="AR9" s="57" t="str">
        <f t="shared" si="1"/>
        <v/>
      </c>
      <c r="AS9" s="57" t="str">
        <f t="shared" si="1"/>
        <v/>
      </c>
      <c r="AT9" s="57" t="str">
        <f t="shared" si="1"/>
        <v/>
      </c>
      <c r="AU9" s="57" t="str">
        <f t="shared" si="1"/>
        <v/>
      </c>
      <c r="AV9" s="57" t="str">
        <f t="shared" si="1"/>
        <v/>
      </c>
      <c r="AW9" s="57" t="str">
        <f t="shared" si="1"/>
        <v/>
      </c>
    </row>
    <row r="10" spans="1:50" s="50" customFormat="1" x14ac:dyDescent="0.35">
      <c r="A10" s="50" t="s">
        <v>22</v>
      </c>
      <c r="B10" s="50" t="s">
        <v>40</v>
      </c>
      <c r="D10" s="52">
        <v>45048</v>
      </c>
      <c r="E10" s="50">
        <v>10</v>
      </c>
      <c r="F10" s="52">
        <v>45068</v>
      </c>
      <c r="H10" s="2" t="s">
        <v>4</v>
      </c>
      <c r="I10" s="50">
        <v>0</v>
      </c>
      <c r="J10" s="64" t="s">
        <v>38</v>
      </c>
      <c r="K10" s="50" t="str">
        <f t="shared" ref="K10:AW13" si="3">IF(K$2=$F10+7-WEEKDAY($F10,2)-2,"u","")</f>
        <v/>
      </c>
      <c r="L10" s="50" t="str">
        <f t="shared" si="3"/>
        <v/>
      </c>
      <c r="M10" s="57" t="str">
        <f t="shared" si="3"/>
        <v/>
      </c>
      <c r="N10" s="57" t="str">
        <f t="shared" si="3"/>
        <v/>
      </c>
      <c r="O10" s="57" t="str">
        <f t="shared" si="3"/>
        <v/>
      </c>
      <c r="P10" s="57" t="str">
        <f t="shared" si="3"/>
        <v/>
      </c>
      <c r="Q10" s="57" t="str">
        <f t="shared" si="3"/>
        <v/>
      </c>
      <c r="R10" s="57" t="str">
        <f t="shared" si="3"/>
        <v/>
      </c>
      <c r="S10" s="57" t="str">
        <f t="shared" si="3"/>
        <v/>
      </c>
      <c r="T10" s="57" t="str">
        <f t="shared" si="3"/>
        <v/>
      </c>
      <c r="U10" s="57" t="str">
        <f t="shared" si="3"/>
        <v/>
      </c>
      <c r="V10" s="57" t="str">
        <f t="shared" si="3"/>
        <v/>
      </c>
      <c r="W10" s="57" t="str">
        <f t="shared" si="3"/>
        <v>u</v>
      </c>
      <c r="X10" s="57" t="str">
        <f t="shared" si="3"/>
        <v/>
      </c>
      <c r="Y10" s="57" t="str">
        <f t="shared" si="3"/>
        <v/>
      </c>
      <c r="Z10" s="57" t="str">
        <f t="shared" si="3"/>
        <v/>
      </c>
      <c r="AA10" s="57" t="str">
        <f t="shared" si="3"/>
        <v/>
      </c>
      <c r="AB10" s="57" t="str">
        <f t="shared" si="3"/>
        <v/>
      </c>
      <c r="AC10" s="57" t="str">
        <f t="shared" si="3"/>
        <v/>
      </c>
      <c r="AD10" s="57" t="str">
        <f t="shared" si="3"/>
        <v/>
      </c>
      <c r="AE10" s="57" t="str">
        <f t="shared" si="3"/>
        <v/>
      </c>
      <c r="AF10" s="57" t="str">
        <f t="shared" ref="AF10:AW27" si="4">IF(AF$2=$F10+7-WEEKDAY($F10,2)-2,"u","")</f>
        <v/>
      </c>
      <c r="AG10" s="57" t="str">
        <f t="shared" si="4"/>
        <v/>
      </c>
      <c r="AH10" s="57" t="str">
        <f t="shared" si="4"/>
        <v/>
      </c>
      <c r="AI10" s="57" t="str">
        <f t="shared" si="4"/>
        <v/>
      </c>
      <c r="AJ10" s="57" t="str">
        <f t="shared" si="4"/>
        <v/>
      </c>
      <c r="AK10" s="57" t="str">
        <f t="shared" si="4"/>
        <v/>
      </c>
      <c r="AL10" s="57" t="str">
        <f t="shared" si="4"/>
        <v/>
      </c>
      <c r="AM10" s="57" t="str">
        <f t="shared" si="4"/>
        <v/>
      </c>
      <c r="AN10" s="57" t="str">
        <f t="shared" si="4"/>
        <v/>
      </c>
      <c r="AO10" s="57" t="str">
        <f t="shared" si="4"/>
        <v/>
      </c>
      <c r="AP10" s="57" t="str">
        <f t="shared" si="4"/>
        <v/>
      </c>
      <c r="AQ10" s="57" t="str">
        <f t="shared" si="4"/>
        <v/>
      </c>
      <c r="AR10" s="57" t="str">
        <f t="shared" si="4"/>
        <v/>
      </c>
      <c r="AS10" s="57" t="str">
        <f t="shared" si="4"/>
        <v/>
      </c>
      <c r="AT10" s="57" t="str">
        <f t="shared" si="4"/>
        <v/>
      </c>
      <c r="AU10" s="57" t="str">
        <f t="shared" si="4"/>
        <v/>
      </c>
      <c r="AV10" s="57" t="str">
        <f t="shared" si="4"/>
        <v/>
      </c>
      <c r="AW10" s="57" t="str">
        <f t="shared" si="4"/>
        <v/>
      </c>
    </row>
    <row r="11" spans="1:50" s="50" customFormat="1" outlineLevel="1" x14ac:dyDescent="0.35">
      <c r="A11" s="50" t="s">
        <v>23</v>
      </c>
      <c r="B11" s="50" t="s">
        <v>15</v>
      </c>
      <c r="D11" s="52">
        <f>+F9</f>
        <v>45061</v>
      </c>
      <c r="E11" s="50">
        <v>5</v>
      </c>
      <c r="F11" s="52">
        <f t="shared" ref="F11:F13" si="5">WORKDAY(D11,E11)</f>
        <v>45068</v>
      </c>
      <c r="H11" s="2" t="s">
        <v>4</v>
      </c>
      <c r="I11" s="50">
        <v>0</v>
      </c>
      <c r="J11" s="64"/>
      <c r="K11" s="50" t="str">
        <f t="shared" si="3"/>
        <v/>
      </c>
      <c r="L11" s="50" t="str">
        <f t="shared" si="3"/>
        <v/>
      </c>
      <c r="M11" s="57" t="str">
        <f t="shared" si="3"/>
        <v/>
      </c>
      <c r="N11" s="57" t="str">
        <f t="shared" si="3"/>
        <v/>
      </c>
      <c r="O11" s="57" t="str">
        <f t="shared" si="3"/>
        <v/>
      </c>
      <c r="P11" s="57" t="str">
        <f t="shared" si="3"/>
        <v/>
      </c>
      <c r="Q11" s="57" t="str">
        <f t="shared" si="3"/>
        <v/>
      </c>
      <c r="R11" s="57" t="str">
        <f t="shared" si="3"/>
        <v/>
      </c>
      <c r="S11" s="57" t="str">
        <f t="shared" si="3"/>
        <v/>
      </c>
      <c r="T11" s="57" t="str">
        <f t="shared" si="3"/>
        <v/>
      </c>
      <c r="U11" s="57" t="str">
        <f t="shared" si="3"/>
        <v/>
      </c>
      <c r="V11" s="57" t="str">
        <f t="shared" si="3"/>
        <v/>
      </c>
      <c r="W11" s="57" t="str">
        <f t="shared" si="3"/>
        <v>u</v>
      </c>
      <c r="X11" s="57" t="str">
        <f t="shared" si="3"/>
        <v/>
      </c>
      <c r="Y11" s="57" t="str">
        <f t="shared" si="3"/>
        <v/>
      </c>
      <c r="Z11" s="57" t="str">
        <f t="shared" si="3"/>
        <v/>
      </c>
      <c r="AA11" s="57" t="str">
        <f t="shared" si="3"/>
        <v/>
      </c>
      <c r="AB11" s="57" t="str">
        <f t="shared" si="3"/>
        <v/>
      </c>
      <c r="AC11" s="57" t="str">
        <f t="shared" si="3"/>
        <v/>
      </c>
      <c r="AD11" s="57" t="str">
        <f t="shared" si="3"/>
        <v/>
      </c>
      <c r="AE11" s="57" t="str">
        <f t="shared" si="3"/>
        <v/>
      </c>
      <c r="AF11" s="57" t="str">
        <f t="shared" si="4"/>
        <v/>
      </c>
      <c r="AG11" s="57" t="str">
        <f t="shared" si="4"/>
        <v/>
      </c>
      <c r="AH11" s="57" t="str">
        <f t="shared" si="4"/>
        <v/>
      </c>
      <c r="AI11" s="57" t="str">
        <f t="shared" si="4"/>
        <v/>
      </c>
      <c r="AJ11" s="57" t="str">
        <f t="shared" si="4"/>
        <v/>
      </c>
      <c r="AK11" s="57" t="str">
        <f t="shared" si="4"/>
        <v/>
      </c>
      <c r="AL11" s="57" t="str">
        <f t="shared" si="4"/>
        <v/>
      </c>
      <c r="AM11" s="57" t="str">
        <f t="shared" si="4"/>
        <v/>
      </c>
      <c r="AN11" s="57" t="str">
        <f t="shared" si="4"/>
        <v/>
      </c>
      <c r="AO11" s="57" t="str">
        <f t="shared" si="4"/>
        <v/>
      </c>
      <c r="AP11" s="57" t="str">
        <f t="shared" si="4"/>
        <v/>
      </c>
      <c r="AQ11" s="57" t="str">
        <f t="shared" si="4"/>
        <v/>
      </c>
      <c r="AR11" s="57" t="str">
        <f t="shared" si="4"/>
        <v/>
      </c>
      <c r="AS11" s="57" t="str">
        <f t="shared" si="4"/>
        <v/>
      </c>
      <c r="AT11" s="57" t="str">
        <f t="shared" si="4"/>
        <v/>
      </c>
      <c r="AU11" s="57" t="str">
        <f t="shared" si="4"/>
        <v/>
      </c>
      <c r="AV11" s="57" t="str">
        <f t="shared" si="4"/>
        <v/>
      </c>
      <c r="AW11" s="57" t="str">
        <f t="shared" si="4"/>
        <v/>
      </c>
    </row>
    <row r="12" spans="1:50" s="50" customFormat="1" outlineLevel="1" x14ac:dyDescent="0.35">
      <c r="A12" s="50" t="s">
        <v>23</v>
      </c>
      <c r="B12" s="50" t="s">
        <v>20</v>
      </c>
      <c r="C12" s="50" t="s">
        <v>14</v>
      </c>
      <c r="D12" s="52">
        <v>45048</v>
      </c>
      <c r="E12" s="50">
        <v>5</v>
      </c>
      <c r="F12" s="52">
        <f t="shared" si="5"/>
        <v>45055</v>
      </c>
      <c r="H12" s="2" t="s">
        <v>4</v>
      </c>
      <c r="I12" s="50">
        <v>0</v>
      </c>
      <c r="J12" s="64"/>
      <c r="K12" s="50" t="str">
        <f t="shared" si="3"/>
        <v/>
      </c>
      <c r="L12" s="50" t="str">
        <f t="shared" si="3"/>
        <v/>
      </c>
      <c r="M12" s="57" t="str">
        <f t="shared" si="3"/>
        <v/>
      </c>
      <c r="N12" s="57" t="str">
        <f t="shared" si="3"/>
        <v/>
      </c>
      <c r="O12" s="57" t="str">
        <f t="shared" si="3"/>
        <v/>
      </c>
      <c r="P12" s="57" t="str">
        <f t="shared" si="3"/>
        <v/>
      </c>
      <c r="Q12" s="57" t="str">
        <f t="shared" si="3"/>
        <v/>
      </c>
      <c r="R12" s="57" t="str">
        <f t="shared" si="3"/>
        <v/>
      </c>
      <c r="S12" s="57" t="str">
        <f t="shared" si="3"/>
        <v/>
      </c>
      <c r="T12" s="57" t="str">
        <f t="shared" si="3"/>
        <v/>
      </c>
      <c r="U12" s="57" t="str">
        <f t="shared" si="3"/>
        <v>u</v>
      </c>
      <c r="V12" s="57" t="str">
        <f t="shared" si="3"/>
        <v/>
      </c>
      <c r="W12" s="57" t="str">
        <f t="shared" si="3"/>
        <v/>
      </c>
      <c r="X12" s="57" t="str">
        <f t="shared" si="3"/>
        <v/>
      </c>
      <c r="Y12" s="57" t="str">
        <f t="shared" si="3"/>
        <v/>
      </c>
      <c r="Z12" s="57" t="str">
        <f t="shared" si="3"/>
        <v/>
      </c>
      <c r="AA12" s="57" t="str">
        <f t="shared" si="3"/>
        <v/>
      </c>
      <c r="AB12" s="57" t="str">
        <f t="shared" si="3"/>
        <v/>
      </c>
      <c r="AC12" s="57" t="str">
        <f t="shared" si="3"/>
        <v/>
      </c>
      <c r="AD12" s="57" t="str">
        <f t="shared" si="3"/>
        <v/>
      </c>
      <c r="AE12" s="57" t="str">
        <f t="shared" si="3"/>
        <v/>
      </c>
      <c r="AF12" s="57" t="str">
        <f t="shared" si="3"/>
        <v/>
      </c>
      <c r="AG12" s="57" t="str">
        <f t="shared" si="3"/>
        <v/>
      </c>
      <c r="AH12" s="57" t="str">
        <f t="shared" si="3"/>
        <v/>
      </c>
      <c r="AI12" s="57" t="str">
        <f t="shared" si="3"/>
        <v/>
      </c>
      <c r="AJ12" s="57" t="str">
        <f t="shared" si="3"/>
        <v/>
      </c>
      <c r="AK12" s="57" t="str">
        <f t="shared" si="3"/>
        <v/>
      </c>
      <c r="AL12" s="57" t="str">
        <f t="shared" si="3"/>
        <v/>
      </c>
      <c r="AM12" s="57" t="str">
        <f t="shared" si="3"/>
        <v/>
      </c>
      <c r="AN12" s="57" t="str">
        <f t="shared" si="3"/>
        <v/>
      </c>
      <c r="AO12" s="57" t="str">
        <f t="shared" si="3"/>
        <v/>
      </c>
      <c r="AP12" s="57" t="str">
        <f t="shared" si="3"/>
        <v/>
      </c>
      <c r="AQ12" s="57" t="str">
        <f t="shared" si="4"/>
        <v/>
      </c>
      <c r="AR12" s="57" t="str">
        <f t="shared" si="4"/>
        <v/>
      </c>
      <c r="AS12" s="57" t="str">
        <f t="shared" si="4"/>
        <v/>
      </c>
      <c r="AT12" s="57" t="str">
        <f t="shared" si="4"/>
        <v/>
      </c>
      <c r="AU12" s="57" t="str">
        <f t="shared" si="4"/>
        <v/>
      </c>
      <c r="AV12" s="57" t="str">
        <f t="shared" si="4"/>
        <v/>
      </c>
      <c r="AW12" s="57" t="str">
        <f t="shared" si="4"/>
        <v/>
      </c>
    </row>
    <row r="13" spans="1:50" s="50" customFormat="1" x14ac:dyDescent="0.35">
      <c r="A13" s="50" t="s">
        <v>22</v>
      </c>
      <c r="B13" s="50" t="s">
        <v>19</v>
      </c>
      <c r="C13" s="50" t="s">
        <v>13</v>
      </c>
      <c r="D13" s="52">
        <v>45026</v>
      </c>
      <c r="E13" s="50">
        <v>25</v>
      </c>
      <c r="F13" s="52">
        <v>45077</v>
      </c>
      <c r="H13" s="2" t="s">
        <v>27</v>
      </c>
      <c r="I13" s="50">
        <v>0</v>
      </c>
      <c r="J13" s="64"/>
      <c r="K13" s="50" t="str">
        <f t="shared" si="3"/>
        <v/>
      </c>
      <c r="L13" s="50" t="str">
        <f t="shared" si="3"/>
        <v/>
      </c>
      <c r="M13" s="57" t="str">
        <f t="shared" si="3"/>
        <v/>
      </c>
      <c r="N13" s="57" t="str">
        <f t="shared" si="3"/>
        <v/>
      </c>
      <c r="O13" s="57" t="str">
        <f t="shared" si="3"/>
        <v/>
      </c>
      <c r="P13" s="57" t="str">
        <f t="shared" si="3"/>
        <v/>
      </c>
      <c r="Q13" s="57" t="str">
        <f t="shared" si="3"/>
        <v/>
      </c>
      <c r="R13" s="57" t="str">
        <f t="shared" si="3"/>
        <v/>
      </c>
      <c r="S13" s="57" t="str">
        <f t="shared" si="3"/>
        <v/>
      </c>
      <c r="T13" s="57" t="str">
        <f t="shared" si="3"/>
        <v/>
      </c>
      <c r="U13" s="57" t="str">
        <f t="shared" si="3"/>
        <v/>
      </c>
      <c r="V13" s="57" t="str">
        <f t="shared" si="3"/>
        <v/>
      </c>
      <c r="W13" s="57" t="str">
        <f t="shared" si="3"/>
        <v/>
      </c>
      <c r="X13" s="57" t="str">
        <f t="shared" si="3"/>
        <v>u</v>
      </c>
      <c r="Y13" s="57" t="str">
        <f t="shared" si="3"/>
        <v/>
      </c>
      <c r="Z13" s="57" t="str">
        <f t="shared" si="3"/>
        <v/>
      </c>
      <c r="AA13" s="57" t="str">
        <f t="shared" si="3"/>
        <v/>
      </c>
      <c r="AB13" s="57" t="str">
        <f t="shared" si="3"/>
        <v/>
      </c>
      <c r="AC13" s="57" t="str">
        <f t="shared" si="3"/>
        <v/>
      </c>
      <c r="AD13" s="57" t="str">
        <f t="shared" si="3"/>
        <v/>
      </c>
      <c r="AE13" s="57" t="str">
        <f t="shared" si="3"/>
        <v/>
      </c>
      <c r="AF13" s="57" t="str">
        <f t="shared" si="3"/>
        <v/>
      </c>
      <c r="AG13" s="57" t="str">
        <f t="shared" si="3"/>
        <v/>
      </c>
      <c r="AH13" s="57" t="str">
        <f t="shared" si="3"/>
        <v/>
      </c>
      <c r="AI13" s="57" t="str">
        <f t="shared" si="3"/>
        <v/>
      </c>
      <c r="AJ13" s="57" t="str">
        <f t="shared" si="3"/>
        <v/>
      </c>
      <c r="AK13" s="57" t="str">
        <f t="shared" si="3"/>
        <v/>
      </c>
      <c r="AL13" s="57" t="str">
        <f t="shared" si="3"/>
        <v/>
      </c>
      <c r="AM13" s="57" t="str">
        <f t="shared" si="3"/>
        <v/>
      </c>
      <c r="AN13" s="57" t="str">
        <f t="shared" si="3"/>
        <v/>
      </c>
      <c r="AO13" s="57" t="str">
        <f t="shared" si="3"/>
        <v/>
      </c>
      <c r="AP13" s="57" t="str">
        <f t="shared" si="3"/>
        <v/>
      </c>
      <c r="AQ13" s="57" t="str">
        <f t="shared" si="4"/>
        <v/>
      </c>
      <c r="AR13" s="57" t="str">
        <f t="shared" si="4"/>
        <v/>
      </c>
      <c r="AS13" s="57" t="str">
        <f t="shared" si="4"/>
        <v/>
      </c>
      <c r="AT13" s="57" t="str">
        <f t="shared" si="4"/>
        <v/>
      </c>
      <c r="AU13" s="57" t="str">
        <f t="shared" si="4"/>
        <v/>
      </c>
      <c r="AV13" s="57" t="str">
        <f t="shared" si="4"/>
        <v/>
      </c>
      <c r="AW13" s="57" t="str">
        <f t="shared" si="4"/>
        <v/>
      </c>
    </row>
    <row r="14" spans="1:50" s="50" customFormat="1" outlineLevel="1" x14ac:dyDescent="0.35">
      <c r="A14" s="50" t="s">
        <v>23</v>
      </c>
      <c r="B14" s="50" t="s">
        <v>15</v>
      </c>
      <c r="D14" s="52">
        <v>45026</v>
      </c>
      <c r="E14" s="50">
        <v>5</v>
      </c>
      <c r="F14" s="52">
        <f t="shared" si="2"/>
        <v>45033</v>
      </c>
      <c r="H14" s="2" t="s">
        <v>4</v>
      </c>
      <c r="I14" s="50">
        <v>0</v>
      </c>
      <c r="J14" s="64"/>
      <c r="K14" s="50" t="str">
        <f t="shared" si="1"/>
        <v/>
      </c>
      <c r="L14" s="50" t="str">
        <f t="shared" si="1"/>
        <v/>
      </c>
      <c r="M14" s="57" t="str">
        <f t="shared" si="1"/>
        <v/>
      </c>
      <c r="N14" s="57" t="str">
        <f t="shared" si="1"/>
        <v/>
      </c>
      <c r="O14" s="57" t="str">
        <f t="shared" si="1"/>
        <v/>
      </c>
      <c r="P14" s="57" t="str">
        <f t="shared" si="1"/>
        <v/>
      </c>
      <c r="Q14" s="57" t="str">
        <f t="shared" si="1"/>
        <v/>
      </c>
      <c r="R14" s="57" t="str">
        <f t="shared" si="1"/>
        <v>u</v>
      </c>
      <c r="S14" s="57" t="str">
        <f t="shared" si="1"/>
        <v/>
      </c>
      <c r="T14" s="57" t="str">
        <f t="shared" si="1"/>
        <v/>
      </c>
      <c r="U14" s="57" t="str">
        <f t="shared" si="1"/>
        <v/>
      </c>
      <c r="V14" s="57" t="str">
        <f t="shared" si="1"/>
        <v/>
      </c>
      <c r="W14" s="57" t="str">
        <f t="shared" si="1"/>
        <v/>
      </c>
      <c r="X14" s="57" t="str">
        <f t="shared" si="1"/>
        <v/>
      </c>
      <c r="Y14" s="57" t="str">
        <f t="shared" si="1"/>
        <v/>
      </c>
      <c r="Z14" s="57" t="str">
        <f t="shared" si="1"/>
        <v/>
      </c>
      <c r="AA14" s="57" t="str">
        <f t="shared" si="1"/>
        <v/>
      </c>
      <c r="AB14" s="57" t="str">
        <f t="shared" si="1"/>
        <v/>
      </c>
      <c r="AC14" s="57" t="str">
        <f t="shared" si="1"/>
        <v/>
      </c>
      <c r="AD14" s="57" t="str">
        <f t="shared" si="1"/>
        <v/>
      </c>
      <c r="AE14" s="57" t="str">
        <f t="shared" si="1"/>
        <v/>
      </c>
      <c r="AF14" s="57" t="str">
        <f t="shared" si="4"/>
        <v/>
      </c>
      <c r="AG14" s="57" t="str">
        <f t="shared" si="4"/>
        <v/>
      </c>
      <c r="AH14" s="57" t="str">
        <f t="shared" si="4"/>
        <v/>
      </c>
      <c r="AI14" s="57" t="str">
        <f t="shared" si="4"/>
        <v/>
      </c>
      <c r="AJ14" s="57" t="str">
        <f t="shared" si="4"/>
        <v/>
      </c>
      <c r="AK14" s="57" t="str">
        <f t="shared" si="4"/>
        <v/>
      </c>
      <c r="AL14" s="57" t="str">
        <f t="shared" si="4"/>
        <v/>
      </c>
      <c r="AM14" s="57" t="str">
        <f t="shared" si="4"/>
        <v/>
      </c>
      <c r="AN14" s="57" t="str">
        <f t="shared" si="4"/>
        <v/>
      </c>
      <c r="AO14" s="57" t="str">
        <f t="shared" si="4"/>
        <v/>
      </c>
      <c r="AP14" s="57" t="str">
        <f t="shared" si="4"/>
        <v/>
      </c>
      <c r="AQ14" s="57" t="str">
        <f t="shared" si="4"/>
        <v/>
      </c>
      <c r="AR14" s="57" t="str">
        <f t="shared" si="4"/>
        <v/>
      </c>
      <c r="AS14" s="57" t="str">
        <f t="shared" si="4"/>
        <v/>
      </c>
      <c r="AT14" s="57" t="str">
        <f t="shared" si="4"/>
        <v/>
      </c>
      <c r="AU14" s="57" t="str">
        <f t="shared" si="4"/>
        <v/>
      </c>
      <c r="AV14" s="57" t="str">
        <f t="shared" si="4"/>
        <v/>
      </c>
      <c r="AW14" s="57" t="str">
        <f t="shared" si="4"/>
        <v/>
      </c>
    </row>
    <row r="15" spans="1:50" s="50" customFormat="1" outlineLevel="1" x14ac:dyDescent="0.35">
      <c r="A15" s="50" t="s">
        <v>23</v>
      </c>
      <c r="B15" s="50" t="s">
        <v>20</v>
      </c>
      <c r="C15" s="50" t="s">
        <v>14</v>
      </c>
      <c r="D15" s="52">
        <v>45048</v>
      </c>
      <c r="E15" s="50">
        <v>5</v>
      </c>
      <c r="F15" s="52">
        <f t="shared" si="2"/>
        <v>45055</v>
      </c>
      <c r="H15" s="2" t="s">
        <v>4</v>
      </c>
      <c r="I15" s="50">
        <v>0</v>
      </c>
      <c r="J15" s="64"/>
      <c r="K15" s="50" t="str">
        <f t="shared" ref="K15:Z27" si="6">IF(K$2=$F15+7-WEEKDAY($F15,2)-2,"u","")</f>
        <v/>
      </c>
      <c r="L15" s="50" t="str">
        <f t="shared" si="6"/>
        <v/>
      </c>
      <c r="M15" s="57" t="str">
        <f t="shared" si="6"/>
        <v/>
      </c>
      <c r="N15" s="57" t="str">
        <f t="shared" si="6"/>
        <v/>
      </c>
      <c r="O15" s="57" t="str">
        <f t="shared" si="6"/>
        <v/>
      </c>
      <c r="P15" s="57" t="str">
        <f t="shared" si="6"/>
        <v/>
      </c>
      <c r="Q15" s="57" t="str">
        <f t="shared" si="6"/>
        <v/>
      </c>
      <c r="R15" s="57" t="str">
        <f t="shared" si="6"/>
        <v/>
      </c>
      <c r="S15" s="57" t="str">
        <f t="shared" si="6"/>
        <v/>
      </c>
      <c r="T15" s="57" t="str">
        <f t="shared" si="6"/>
        <v/>
      </c>
      <c r="U15" s="57" t="str">
        <f t="shared" si="6"/>
        <v>u</v>
      </c>
      <c r="V15" s="57" t="str">
        <f t="shared" si="6"/>
        <v/>
      </c>
      <c r="W15" s="57" t="str">
        <f t="shared" si="6"/>
        <v/>
      </c>
      <c r="X15" s="57" t="str">
        <f t="shared" si="6"/>
        <v/>
      </c>
      <c r="Y15" s="57" t="str">
        <f t="shared" si="6"/>
        <v/>
      </c>
      <c r="Z15" s="57" t="str">
        <f t="shared" si="6"/>
        <v/>
      </c>
      <c r="AA15" s="57" t="str">
        <f t="shared" ref="AA15:AP27" si="7">IF(AA$2=$F15+7-WEEKDAY($F15,2)-2,"u","")</f>
        <v/>
      </c>
      <c r="AB15" s="57" t="str">
        <f t="shared" si="7"/>
        <v/>
      </c>
      <c r="AC15" s="57" t="str">
        <f t="shared" si="7"/>
        <v/>
      </c>
      <c r="AD15" s="57" t="str">
        <f t="shared" si="7"/>
        <v/>
      </c>
      <c r="AE15" s="57" t="str">
        <f t="shared" si="7"/>
        <v/>
      </c>
      <c r="AF15" s="57" t="str">
        <f t="shared" si="7"/>
        <v/>
      </c>
      <c r="AG15" s="57" t="str">
        <f t="shared" si="7"/>
        <v/>
      </c>
      <c r="AH15" s="57" t="str">
        <f t="shared" si="7"/>
        <v/>
      </c>
      <c r="AI15" s="57" t="str">
        <f t="shared" si="7"/>
        <v/>
      </c>
      <c r="AJ15" s="57" t="str">
        <f t="shared" si="7"/>
        <v/>
      </c>
      <c r="AK15" s="57" t="str">
        <f t="shared" si="7"/>
        <v/>
      </c>
      <c r="AL15" s="57" t="str">
        <f t="shared" si="7"/>
        <v/>
      </c>
      <c r="AM15" s="57" t="str">
        <f t="shared" si="7"/>
        <v/>
      </c>
      <c r="AN15" s="57" t="str">
        <f t="shared" si="7"/>
        <v/>
      </c>
      <c r="AO15" s="57" t="str">
        <f t="shared" si="7"/>
        <v/>
      </c>
      <c r="AP15" s="57" t="str">
        <f t="shared" si="7"/>
        <v/>
      </c>
      <c r="AQ15" s="57" t="str">
        <f t="shared" si="4"/>
        <v/>
      </c>
      <c r="AR15" s="57" t="str">
        <f t="shared" si="4"/>
        <v/>
      </c>
      <c r="AS15" s="57" t="str">
        <f t="shared" si="4"/>
        <v/>
      </c>
      <c r="AT15" s="57" t="str">
        <f t="shared" si="4"/>
        <v/>
      </c>
      <c r="AU15" s="57" t="str">
        <f t="shared" si="4"/>
        <v/>
      </c>
      <c r="AV15" s="57" t="str">
        <f t="shared" si="4"/>
        <v/>
      </c>
      <c r="AW15" s="57" t="str">
        <f t="shared" si="4"/>
        <v/>
      </c>
    </row>
    <row r="16" spans="1:50" s="50" customFormat="1" outlineLevel="1" x14ac:dyDescent="0.35">
      <c r="A16" s="50" t="s">
        <v>23</v>
      </c>
      <c r="B16" s="50" t="s">
        <v>19</v>
      </c>
      <c r="C16" s="50" t="s">
        <v>13</v>
      </c>
      <c r="D16" s="52">
        <v>45056</v>
      </c>
      <c r="E16" s="50">
        <v>15</v>
      </c>
      <c r="F16" s="52">
        <f t="shared" si="2"/>
        <v>45077</v>
      </c>
      <c r="H16" s="2" t="s">
        <v>27</v>
      </c>
      <c r="I16" s="50">
        <v>0</v>
      </c>
      <c r="J16" s="64"/>
      <c r="K16" s="50" t="str">
        <f t="shared" si="6"/>
        <v/>
      </c>
      <c r="L16" s="50" t="str">
        <f t="shared" si="6"/>
        <v/>
      </c>
      <c r="M16" s="57" t="str">
        <f t="shared" si="6"/>
        <v/>
      </c>
      <c r="N16" s="57" t="str">
        <f t="shared" si="6"/>
        <v/>
      </c>
      <c r="O16" s="57" t="str">
        <f t="shared" si="6"/>
        <v/>
      </c>
      <c r="P16" s="57" t="str">
        <f t="shared" si="6"/>
        <v/>
      </c>
      <c r="Q16" s="57" t="str">
        <f t="shared" si="6"/>
        <v/>
      </c>
      <c r="R16" s="57" t="str">
        <f t="shared" si="6"/>
        <v/>
      </c>
      <c r="S16" s="57" t="str">
        <f t="shared" si="6"/>
        <v/>
      </c>
      <c r="T16" s="57" t="str">
        <f t="shared" si="6"/>
        <v/>
      </c>
      <c r="U16" s="57" t="str">
        <f t="shared" si="6"/>
        <v/>
      </c>
      <c r="V16" s="57" t="str">
        <f t="shared" si="6"/>
        <v/>
      </c>
      <c r="W16" s="57" t="str">
        <f t="shared" si="6"/>
        <v/>
      </c>
      <c r="X16" s="57" t="str">
        <f t="shared" si="6"/>
        <v>u</v>
      </c>
      <c r="Y16" s="57" t="str">
        <f t="shared" si="6"/>
        <v/>
      </c>
      <c r="Z16" s="57" t="str">
        <f t="shared" si="6"/>
        <v/>
      </c>
      <c r="AA16" s="57" t="str">
        <f t="shared" si="7"/>
        <v/>
      </c>
      <c r="AB16" s="57" t="str">
        <f t="shared" si="7"/>
        <v/>
      </c>
      <c r="AC16" s="57" t="str">
        <f t="shared" si="7"/>
        <v/>
      </c>
      <c r="AD16" s="57" t="str">
        <f t="shared" si="7"/>
        <v/>
      </c>
      <c r="AE16" s="57" t="str">
        <f t="shared" si="7"/>
        <v/>
      </c>
      <c r="AF16" s="57" t="str">
        <f t="shared" si="7"/>
        <v/>
      </c>
      <c r="AG16" s="57" t="str">
        <f t="shared" si="7"/>
        <v/>
      </c>
      <c r="AH16" s="57" t="str">
        <f t="shared" si="7"/>
        <v/>
      </c>
      <c r="AI16" s="57" t="str">
        <f t="shared" si="7"/>
        <v/>
      </c>
      <c r="AJ16" s="57" t="str">
        <f t="shared" si="7"/>
        <v/>
      </c>
      <c r="AK16" s="57" t="str">
        <f t="shared" si="7"/>
        <v/>
      </c>
      <c r="AL16" s="57" t="str">
        <f t="shared" si="7"/>
        <v/>
      </c>
      <c r="AM16" s="57" t="str">
        <f t="shared" si="7"/>
        <v/>
      </c>
      <c r="AN16" s="57" t="str">
        <f t="shared" si="7"/>
        <v/>
      </c>
      <c r="AO16" s="57" t="str">
        <f t="shared" si="7"/>
        <v/>
      </c>
      <c r="AP16" s="57" t="str">
        <f t="shared" si="7"/>
        <v/>
      </c>
      <c r="AQ16" s="57" t="str">
        <f t="shared" si="4"/>
        <v/>
      </c>
      <c r="AR16" s="57" t="str">
        <f t="shared" si="4"/>
        <v/>
      </c>
      <c r="AS16" s="57" t="str">
        <f t="shared" si="4"/>
        <v/>
      </c>
      <c r="AT16" s="57" t="str">
        <f t="shared" si="4"/>
        <v/>
      </c>
      <c r="AU16" s="57" t="str">
        <f t="shared" si="4"/>
        <v/>
      </c>
      <c r="AV16" s="57" t="str">
        <f t="shared" si="4"/>
        <v/>
      </c>
      <c r="AW16" s="57" t="str">
        <f t="shared" si="4"/>
        <v/>
      </c>
    </row>
    <row r="17" spans="1:49" x14ac:dyDescent="0.35">
      <c r="A17" s="29" t="s">
        <v>22</v>
      </c>
      <c r="B17" s="29" t="s">
        <v>24</v>
      </c>
      <c r="C17" s="29"/>
      <c r="D17" s="51">
        <v>45011</v>
      </c>
      <c r="E17" s="31">
        <v>8</v>
      </c>
      <c r="F17" s="56">
        <v>45153</v>
      </c>
      <c r="G17" s="33"/>
      <c r="H17" s="36" t="s">
        <v>4</v>
      </c>
      <c r="I17" s="35">
        <v>0</v>
      </c>
      <c r="J17" s="63"/>
      <c r="K17" s="3" t="str">
        <f t="shared" si="6"/>
        <v/>
      </c>
      <c r="L17" s="3" t="str">
        <f t="shared" si="6"/>
        <v/>
      </c>
      <c r="M17" s="3" t="str">
        <f t="shared" si="6"/>
        <v/>
      </c>
      <c r="N17" s="23" t="str">
        <f t="shared" si="6"/>
        <v/>
      </c>
      <c r="O17" s="23" t="str">
        <f t="shared" si="6"/>
        <v/>
      </c>
      <c r="P17" s="23" t="str">
        <f t="shared" si="6"/>
        <v/>
      </c>
      <c r="Q17" s="23" t="str">
        <f t="shared" si="6"/>
        <v/>
      </c>
      <c r="R17" s="23" t="str">
        <f t="shared" si="6"/>
        <v/>
      </c>
      <c r="S17" s="23" t="str">
        <f t="shared" si="6"/>
        <v/>
      </c>
      <c r="T17" s="23" t="str">
        <f t="shared" si="6"/>
        <v/>
      </c>
      <c r="U17" s="23" t="str">
        <f t="shared" si="6"/>
        <v/>
      </c>
      <c r="V17" s="23" t="str">
        <f t="shared" si="6"/>
        <v/>
      </c>
      <c r="W17" s="23" t="str">
        <f t="shared" si="6"/>
        <v/>
      </c>
      <c r="X17" s="23" t="str">
        <f t="shared" si="6"/>
        <v/>
      </c>
      <c r="Y17" s="23" t="str">
        <f t="shared" si="6"/>
        <v/>
      </c>
      <c r="Z17" s="23" t="str">
        <f t="shared" si="6"/>
        <v/>
      </c>
      <c r="AA17" s="23" t="str">
        <f t="shared" si="7"/>
        <v/>
      </c>
      <c r="AB17" s="23" t="str">
        <f t="shared" si="7"/>
        <v/>
      </c>
      <c r="AC17" s="23" t="str">
        <f t="shared" si="7"/>
        <v/>
      </c>
      <c r="AD17" s="23" t="str">
        <f t="shared" si="7"/>
        <v/>
      </c>
      <c r="AE17" s="23" t="str">
        <f t="shared" si="7"/>
        <v/>
      </c>
      <c r="AF17" s="23" t="str">
        <f t="shared" si="7"/>
        <v/>
      </c>
      <c r="AG17" s="23" t="str">
        <f t="shared" si="7"/>
        <v/>
      </c>
      <c r="AH17" s="23" t="str">
        <f t="shared" si="7"/>
        <v/>
      </c>
      <c r="AI17" s="23" t="str">
        <f t="shared" si="7"/>
        <v>u</v>
      </c>
      <c r="AJ17" s="23" t="str">
        <f t="shared" si="7"/>
        <v/>
      </c>
      <c r="AK17" s="23" t="str">
        <f t="shared" si="7"/>
        <v/>
      </c>
      <c r="AL17" s="23" t="str">
        <f t="shared" si="7"/>
        <v/>
      </c>
      <c r="AM17" s="23" t="str">
        <f t="shared" si="7"/>
        <v/>
      </c>
      <c r="AN17" s="23" t="str">
        <f t="shared" si="7"/>
        <v/>
      </c>
      <c r="AO17" s="23" t="str">
        <f t="shared" si="7"/>
        <v/>
      </c>
      <c r="AP17" s="23" t="str">
        <f t="shared" si="7"/>
        <v/>
      </c>
      <c r="AQ17" s="23" t="str">
        <f t="shared" si="4"/>
        <v/>
      </c>
      <c r="AR17" s="23" t="str">
        <f t="shared" si="4"/>
        <v/>
      </c>
      <c r="AS17" s="23" t="str">
        <f t="shared" si="4"/>
        <v/>
      </c>
      <c r="AT17" s="23" t="str">
        <f t="shared" si="4"/>
        <v/>
      </c>
      <c r="AU17" s="23" t="str">
        <f t="shared" si="4"/>
        <v/>
      </c>
      <c r="AV17" s="23" t="str">
        <f t="shared" si="4"/>
        <v/>
      </c>
      <c r="AW17" s="23" t="str">
        <f t="shared" si="4"/>
        <v/>
      </c>
    </row>
    <row r="18" spans="1:49" s="50" customFormat="1" hidden="1" outlineLevel="1" x14ac:dyDescent="0.35">
      <c r="A18" s="50" t="s">
        <v>23</v>
      </c>
      <c r="B18" s="50" t="s">
        <v>8</v>
      </c>
      <c r="C18" s="50" t="s">
        <v>12</v>
      </c>
      <c r="D18" s="52">
        <v>45011</v>
      </c>
      <c r="E18" s="50">
        <v>5</v>
      </c>
      <c r="F18" s="52">
        <f t="shared" si="2"/>
        <v>45016</v>
      </c>
      <c r="H18" s="2" t="s">
        <v>4</v>
      </c>
      <c r="I18" s="50">
        <v>0</v>
      </c>
      <c r="J18" s="64"/>
      <c r="K18" s="50" t="str">
        <f t="shared" si="6"/>
        <v/>
      </c>
      <c r="L18" s="50" t="str">
        <f t="shared" si="6"/>
        <v/>
      </c>
      <c r="M18" s="57" t="str">
        <f t="shared" si="6"/>
        <v/>
      </c>
      <c r="N18" s="57" t="str">
        <f t="shared" si="6"/>
        <v/>
      </c>
      <c r="O18" s="57" t="str">
        <f t="shared" si="6"/>
        <v>u</v>
      </c>
      <c r="P18" s="57" t="str">
        <f t="shared" si="6"/>
        <v/>
      </c>
      <c r="Q18" s="57" t="str">
        <f t="shared" si="6"/>
        <v/>
      </c>
      <c r="R18" s="57" t="str">
        <f t="shared" si="6"/>
        <v/>
      </c>
      <c r="S18" s="57" t="str">
        <f t="shared" si="6"/>
        <v/>
      </c>
      <c r="T18" s="57" t="str">
        <f t="shared" si="6"/>
        <v/>
      </c>
      <c r="U18" s="57" t="str">
        <f t="shared" si="6"/>
        <v/>
      </c>
      <c r="V18" s="57" t="str">
        <f t="shared" si="6"/>
        <v/>
      </c>
      <c r="W18" s="57" t="str">
        <f t="shared" si="6"/>
        <v/>
      </c>
      <c r="X18" s="57" t="str">
        <f t="shared" si="6"/>
        <v/>
      </c>
      <c r="Y18" s="57" t="str">
        <f t="shared" si="6"/>
        <v/>
      </c>
      <c r="Z18" s="57" t="str">
        <f t="shared" si="6"/>
        <v/>
      </c>
      <c r="AA18" s="57" t="str">
        <f t="shared" si="7"/>
        <v/>
      </c>
      <c r="AB18" s="57" t="str">
        <f t="shared" si="7"/>
        <v/>
      </c>
      <c r="AC18" s="57" t="str">
        <f t="shared" si="7"/>
        <v/>
      </c>
      <c r="AD18" s="57" t="str">
        <f t="shared" si="7"/>
        <v/>
      </c>
      <c r="AE18" s="57" t="str">
        <f t="shared" si="7"/>
        <v/>
      </c>
      <c r="AF18" s="57" t="str">
        <f t="shared" si="7"/>
        <v/>
      </c>
      <c r="AG18" s="57" t="str">
        <f t="shared" si="7"/>
        <v/>
      </c>
      <c r="AH18" s="57" t="str">
        <f t="shared" si="7"/>
        <v/>
      </c>
      <c r="AI18" s="57" t="str">
        <f t="shared" si="7"/>
        <v/>
      </c>
      <c r="AJ18" s="57" t="str">
        <f t="shared" si="7"/>
        <v/>
      </c>
      <c r="AK18" s="57" t="str">
        <f t="shared" si="7"/>
        <v/>
      </c>
      <c r="AL18" s="57" t="str">
        <f t="shared" si="7"/>
        <v/>
      </c>
      <c r="AM18" s="57" t="str">
        <f t="shared" si="7"/>
        <v/>
      </c>
      <c r="AN18" s="57" t="str">
        <f t="shared" si="7"/>
        <v/>
      </c>
      <c r="AO18" s="57" t="str">
        <f t="shared" si="7"/>
        <v/>
      </c>
      <c r="AP18" s="57" t="str">
        <f t="shared" si="7"/>
        <v/>
      </c>
      <c r="AQ18" s="57" t="str">
        <f t="shared" si="4"/>
        <v/>
      </c>
      <c r="AR18" s="57" t="str">
        <f t="shared" si="4"/>
        <v/>
      </c>
      <c r="AS18" s="57" t="str">
        <f t="shared" si="4"/>
        <v/>
      </c>
      <c r="AT18" s="57" t="str">
        <f t="shared" si="4"/>
        <v/>
      </c>
      <c r="AU18" s="57" t="str">
        <f t="shared" si="4"/>
        <v/>
      </c>
      <c r="AV18" s="57" t="str">
        <f t="shared" si="4"/>
        <v/>
      </c>
      <c r="AW18" s="57" t="str">
        <f t="shared" si="4"/>
        <v/>
      </c>
    </row>
    <row r="19" spans="1:49" s="50" customFormat="1" hidden="1" outlineLevel="1" x14ac:dyDescent="0.35">
      <c r="A19" s="50" t="s">
        <v>23</v>
      </c>
      <c r="D19" s="52">
        <v>45128</v>
      </c>
      <c r="E19" s="50">
        <v>1</v>
      </c>
      <c r="F19" s="52">
        <f t="shared" si="2"/>
        <v>45131</v>
      </c>
      <c r="H19" s="2" t="s">
        <v>4</v>
      </c>
      <c r="I19" s="50">
        <v>0</v>
      </c>
      <c r="J19" s="64"/>
      <c r="K19" s="50" t="str">
        <f t="shared" si="6"/>
        <v/>
      </c>
      <c r="L19" s="50" t="str">
        <f t="shared" si="6"/>
        <v/>
      </c>
      <c r="M19" s="57" t="str">
        <f t="shared" si="6"/>
        <v/>
      </c>
      <c r="N19" s="57" t="str">
        <f t="shared" si="6"/>
        <v/>
      </c>
      <c r="O19" s="57" t="str">
        <f t="shared" si="6"/>
        <v/>
      </c>
      <c r="P19" s="57" t="str">
        <f t="shared" si="6"/>
        <v/>
      </c>
      <c r="Q19" s="57" t="str">
        <f t="shared" si="6"/>
        <v/>
      </c>
      <c r="R19" s="57" t="str">
        <f t="shared" si="6"/>
        <v/>
      </c>
      <c r="S19" s="57" t="str">
        <f t="shared" si="6"/>
        <v/>
      </c>
      <c r="T19" s="57" t="str">
        <f t="shared" si="6"/>
        <v/>
      </c>
      <c r="U19" s="57" t="str">
        <f t="shared" si="6"/>
        <v/>
      </c>
      <c r="V19" s="57" t="str">
        <f t="shared" si="6"/>
        <v/>
      </c>
      <c r="W19" s="57" t="str">
        <f t="shared" si="6"/>
        <v/>
      </c>
      <c r="X19" s="57" t="str">
        <f t="shared" si="6"/>
        <v/>
      </c>
      <c r="Y19" s="57" t="str">
        <f t="shared" si="6"/>
        <v/>
      </c>
      <c r="Z19" s="57" t="str">
        <f t="shared" si="6"/>
        <v/>
      </c>
      <c r="AA19" s="57" t="str">
        <f t="shared" si="7"/>
        <v/>
      </c>
      <c r="AB19" s="57" t="str">
        <f t="shared" si="7"/>
        <v/>
      </c>
      <c r="AC19" s="57" t="str">
        <f t="shared" si="7"/>
        <v/>
      </c>
      <c r="AD19" s="57" t="str">
        <f t="shared" si="7"/>
        <v/>
      </c>
      <c r="AE19" s="57" t="str">
        <f t="shared" si="7"/>
        <v/>
      </c>
      <c r="AF19" s="57" t="str">
        <f t="shared" si="7"/>
        <v>u</v>
      </c>
      <c r="AG19" s="57" t="str">
        <f t="shared" si="7"/>
        <v/>
      </c>
      <c r="AH19" s="57" t="str">
        <f t="shared" si="7"/>
        <v/>
      </c>
      <c r="AI19" s="57" t="str">
        <f t="shared" si="7"/>
        <v/>
      </c>
      <c r="AJ19" s="57" t="str">
        <f t="shared" si="7"/>
        <v/>
      </c>
      <c r="AK19" s="57" t="str">
        <f t="shared" si="7"/>
        <v/>
      </c>
      <c r="AL19" s="57" t="str">
        <f t="shared" si="7"/>
        <v/>
      </c>
      <c r="AM19" s="57" t="str">
        <f t="shared" si="7"/>
        <v/>
      </c>
      <c r="AN19" s="57" t="str">
        <f t="shared" si="7"/>
        <v/>
      </c>
      <c r="AO19" s="57" t="str">
        <f t="shared" si="7"/>
        <v/>
      </c>
      <c r="AP19" s="57" t="str">
        <f t="shared" si="7"/>
        <v/>
      </c>
      <c r="AQ19" s="57" t="str">
        <f t="shared" si="4"/>
        <v/>
      </c>
      <c r="AR19" s="57" t="str">
        <f t="shared" si="4"/>
        <v/>
      </c>
      <c r="AS19" s="57" t="str">
        <f t="shared" si="4"/>
        <v/>
      </c>
      <c r="AT19" s="57" t="str">
        <f t="shared" si="4"/>
        <v/>
      </c>
      <c r="AU19" s="57" t="str">
        <f t="shared" si="4"/>
        <v/>
      </c>
      <c r="AV19" s="57" t="str">
        <f t="shared" si="4"/>
        <v/>
      </c>
      <c r="AW19" s="57" t="str">
        <f t="shared" si="4"/>
        <v/>
      </c>
    </row>
    <row r="20" spans="1:49" s="50" customFormat="1" hidden="1" outlineLevel="1" x14ac:dyDescent="0.35">
      <c r="A20" s="50" t="s">
        <v>23</v>
      </c>
      <c r="B20" s="50" t="s">
        <v>9</v>
      </c>
      <c r="C20" s="50" t="s">
        <v>14</v>
      </c>
      <c r="D20" s="52">
        <v>45152</v>
      </c>
      <c r="E20" s="50">
        <v>1</v>
      </c>
      <c r="F20" s="52">
        <f t="shared" si="2"/>
        <v>45153</v>
      </c>
      <c r="H20" s="2" t="s">
        <v>4</v>
      </c>
      <c r="I20" s="50">
        <v>0</v>
      </c>
      <c r="J20" s="64"/>
      <c r="K20" s="50" t="str">
        <f t="shared" si="6"/>
        <v/>
      </c>
      <c r="L20" s="50" t="str">
        <f t="shared" si="6"/>
        <v/>
      </c>
      <c r="M20" s="57" t="str">
        <f t="shared" si="6"/>
        <v/>
      </c>
      <c r="N20" s="57" t="str">
        <f t="shared" si="6"/>
        <v/>
      </c>
      <c r="O20" s="57" t="str">
        <f t="shared" si="6"/>
        <v/>
      </c>
      <c r="P20" s="57" t="str">
        <f t="shared" si="6"/>
        <v/>
      </c>
      <c r="Q20" s="57" t="str">
        <f t="shared" si="6"/>
        <v/>
      </c>
      <c r="R20" s="57" t="str">
        <f t="shared" si="6"/>
        <v/>
      </c>
      <c r="S20" s="57" t="str">
        <f t="shared" si="6"/>
        <v/>
      </c>
      <c r="T20" s="57" t="str">
        <f t="shared" si="6"/>
        <v/>
      </c>
      <c r="U20" s="57" t="str">
        <f t="shared" si="6"/>
        <v/>
      </c>
      <c r="V20" s="57" t="str">
        <f t="shared" si="6"/>
        <v/>
      </c>
      <c r="W20" s="57" t="str">
        <f t="shared" si="6"/>
        <v/>
      </c>
      <c r="X20" s="57" t="str">
        <f t="shared" si="6"/>
        <v/>
      </c>
      <c r="Y20" s="57" t="str">
        <f t="shared" si="6"/>
        <v/>
      </c>
      <c r="Z20" s="57" t="str">
        <f t="shared" si="6"/>
        <v/>
      </c>
      <c r="AA20" s="57" t="str">
        <f t="shared" si="7"/>
        <v/>
      </c>
      <c r="AB20" s="57" t="str">
        <f t="shared" si="7"/>
        <v/>
      </c>
      <c r="AC20" s="57" t="str">
        <f t="shared" si="7"/>
        <v/>
      </c>
      <c r="AD20" s="57" t="str">
        <f t="shared" si="7"/>
        <v/>
      </c>
      <c r="AE20" s="57" t="str">
        <f t="shared" si="7"/>
        <v/>
      </c>
      <c r="AF20" s="57" t="str">
        <f t="shared" si="7"/>
        <v/>
      </c>
      <c r="AG20" s="57" t="str">
        <f t="shared" si="7"/>
        <v/>
      </c>
      <c r="AH20" s="57" t="str">
        <f t="shared" si="7"/>
        <v/>
      </c>
      <c r="AI20" s="57" t="str">
        <f t="shared" si="7"/>
        <v>u</v>
      </c>
      <c r="AJ20" s="57" t="str">
        <f t="shared" si="7"/>
        <v/>
      </c>
      <c r="AK20" s="57" t="str">
        <f t="shared" si="7"/>
        <v/>
      </c>
      <c r="AL20" s="57" t="str">
        <f t="shared" si="7"/>
        <v/>
      </c>
      <c r="AM20" s="57" t="str">
        <f t="shared" si="7"/>
        <v/>
      </c>
      <c r="AN20" s="57" t="str">
        <f t="shared" si="7"/>
        <v/>
      </c>
      <c r="AO20" s="57" t="str">
        <f t="shared" si="7"/>
        <v/>
      </c>
      <c r="AP20" s="57" t="str">
        <f t="shared" si="7"/>
        <v/>
      </c>
      <c r="AQ20" s="57" t="str">
        <f t="shared" si="4"/>
        <v/>
      </c>
      <c r="AR20" s="57" t="str">
        <f t="shared" si="4"/>
        <v/>
      </c>
      <c r="AS20" s="57" t="str">
        <f t="shared" si="4"/>
        <v/>
      </c>
      <c r="AT20" s="57" t="str">
        <f t="shared" si="4"/>
        <v/>
      </c>
      <c r="AU20" s="57" t="str">
        <f t="shared" si="4"/>
        <v/>
      </c>
      <c r="AV20" s="57" t="str">
        <f t="shared" si="4"/>
        <v/>
      </c>
      <c r="AW20" s="57" t="str">
        <f t="shared" si="4"/>
        <v/>
      </c>
    </row>
    <row r="21" spans="1:49" s="50" customFormat="1" hidden="1" outlineLevel="1" x14ac:dyDescent="0.35">
      <c r="A21" s="50" t="s">
        <v>23</v>
      </c>
      <c r="B21" s="50" t="s">
        <v>10</v>
      </c>
      <c r="C21" s="50" t="s">
        <v>13</v>
      </c>
      <c r="D21" s="52">
        <v>45135</v>
      </c>
      <c r="E21" s="50">
        <v>1</v>
      </c>
      <c r="F21" s="52">
        <f t="shared" si="2"/>
        <v>45138</v>
      </c>
      <c r="H21" s="2" t="s">
        <v>5</v>
      </c>
      <c r="I21" s="50">
        <v>0</v>
      </c>
      <c r="J21" s="64"/>
      <c r="K21" s="50" t="str">
        <f t="shared" si="6"/>
        <v/>
      </c>
      <c r="L21" s="50" t="str">
        <f t="shared" si="6"/>
        <v/>
      </c>
      <c r="M21" s="57" t="str">
        <f t="shared" si="6"/>
        <v/>
      </c>
      <c r="N21" s="57" t="str">
        <f t="shared" si="6"/>
        <v/>
      </c>
      <c r="O21" s="57" t="str">
        <f t="shared" si="6"/>
        <v/>
      </c>
      <c r="P21" s="57" t="str">
        <f t="shared" si="6"/>
        <v/>
      </c>
      <c r="Q21" s="57" t="str">
        <f t="shared" si="6"/>
        <v/>
      </c>
      <c r="R21" s="57" t="str">
        <f t="shared" si="6"/>
        <v/>
      </c>
      <c r="S21" s="57" t="str">
        <f t="shared" si="6"/>
        <v/>
      </c>
      <c r="T21" s="57" t="str">
        <f t="shared" si="6"/>
        <v/>
      </c>
      <c r="U21" s="57" t="str">
        <f t="shared" si="6"/>
        <v/>
      </c>
      <c r="V21" s="57" t="str">
        <f t="shared" si="6"/>
        <v/>
      </c>
      <c r="W21" s="57" t="str">
        <f t="shared" si="6"/>
        <v/>
      </c>
      <c r="X21" s="57" t="str">
        <f t="shared" si="6"/>
        <v/>
      </c>
      <c r="Y21" s="57" t="str">
        <f t="shared" si="6"/>
        <v/>
      </c>
      <c r="Z21" s="57" t="str">
        <f t="shared" si="6"/>
        <v/>
      </c>
      <c r="AA21" s="57" t="str">
        <f t="shared" si="7"/>
        <v/>
      </c>
      <c r="AB21" s="57" t="str">
        <f t="shared" si="7"/>
        <v/>
      </c>
      <c r="AC21" s="57" t="str">
        <f t="shared" si="7"/>
        <v/>
      </c>
      <c r="AD21" s="57" t="str">
        <f t="shared" si="7"/>
        <v/>
      </c>
      <c r="AE21" s="57" t="str">
        <f t="shared" si="7"/>
        <v/>
      </c>
      <c r="AF21" s="57" t="str">
        <f t="shared" si="7"/>
        <v/>
      </c>
      <c r="AG21" s="57" t="str">
        <f t="shared" si="7"/>
        <v>u</v>
      </c>
      <c r="AH21" s="57" t="str">
        <f t="shared" si="7"/>
        <v/>
      </c>
      <c r="AI21" s="57" t="str">
        <f t="shared" si="7"/>
        <v/>
      </c>
      <c r="AJ21" s="57" t="str">
        <f t="shared" si="7"/>
        <v/>
      </c>
      <c r="AK21" s="57" t="str">
        <f t="shared" si="7"/>
        <v/>
      </c>
      <c r="AL21" s="57" t="str">
        <f t="shared" si="7"/>
        <v/>
      </c>
      <c r="AM21" s="57" t="str">
        <f t="shared" si="7"/>
        <v/>
      </c>
      <c r="AN21" s="57" t="str">
        <f t="shared" si="7"/>
        <v/>
      </c>
      <c r="AO21" s="57" t="str">
        <f t="shared" si="7"/>
        <v/>
      </c>
      <c r="AP21" s="57" t="str">
        <f t="shared" si="7"/>
        <v/>
      </c>
      <c r="AQ21" s="57" t="str">
        <f t="shared" si="4"/>
        <v/>
      </c>
      <c r="AR21" s="57" t="str">
        <f t="shared" si="4"/>
        <v/>
      </c>
      <c r="AS21" s="57" t="str">
        <f t="shared" si="4"/>
        <v/>
      </c>
      <c r="AT21" s="57" t="str">
        <f t="shared" si="4"/>
        <v/>
      </c>
      <c r="AU21" s="57" t="str">
        <f t="shared" si="4"/>
        <v/>
      </c>
      <c r="AV21" s="57" t="str">
        <f t="shared" si="4"/>
        <v/>
      </c>
      <c r="AW21" s="57" t="str">
        <f t="shared" si="4"/>
        <v/>
      </c>
    </row>
    <row r="22" spans="1:49" s="25" customFormat="1" collapsed="1" x14ac:dyDescent="0.35">
      <c r="A22" s="29" t="s">
        <v>22</v>
      </c>
      <c r="B22" s="29" t="s">
        <v>25</v>
      </c>
      <c r="C22" s="29"/>
      <c r="D22" s="51">
        <v>45009</v>
      </c>
      <c r="E22" s="31">
        <v>60</v>
      </c>
      <c r="F22" s="56">
        <v>45093</v>
      </c>
      <c r="G22" s="33"/>
      <c r="H22" s="36" t="s">
        <v>4</v>
      </c>
      <c r="I22" s="35">
        <v>0</v>
      </c>
      <c r="J22" s="63"/>
      <c r="K22" s="3" t="str">
        <f t="shared" si="6"/>
        <v/>
      </c>
      <c r="L22" s="3" t="str">
        <f t="shared" si="6"/>
        <v/>
      </c>
      <c r="M22" s="3" t="str">
        <f t="shared" si="6"/>
        <v/>
      </c>
      <c r="N22" s="23" t="str">
        <f t="shared" si="6"/>
        <v/>
      </c>
      <c r="O22" s="23" t="str">
        <f t="shared" si="6"/>
        <v/>
      </c>
      <c r="P22" s="23" t="str">
        <f t="shared" si="6"/>
        <v/>
      </c>
      <c r="Q22" s="23" t="str">
        <f t="shared" si="6"/>
        <v/>
      </c>
      <c r="R22" s="23" t="str">
        <f t="shared" si="6"/>
        <v/>
      </c>
      <c r="S22" s="23" t="str">
        <f t="shared" si="6"/>
        <v/>
      </c>
      <c r="T22" s="23" t="str">
        <f t="shared" si="6"/>
        <v/>
      </c>
      <c r="U22" s="23" t="str">
        <f t="shared" si="6"/>
        <v/>
      </c>
      <c r="V22" s="23" t="str">
        <f t="shared" si="6"/>
        <v/>
      </c>
      <c r="W22" s="23" t="str">
        <f t="shared" si="6"/>
        <v/>
      </c>
      <c r="X22" s="23" t="str">
        <f t="shared" si="6"/>
        <v/>
      </c>
      <c r="Y22" s="23" t="str">
        <f t="shared" si="6"/>
        <v/>
      </c>
      <c r="Z22" s="23" t="str">
        <f t="shared" si="6"/>
        <v>u</v>
      </c>
      <c r="AA22" s="23" t="str">
        <f t="shared" si="7"/>
        <v/>
      </c>
      <c r="AB22" s="23" t="str">
        <f t="shared" si="7"/>
        <v/>
      </c>
      <c r="AC22" s="23" t="str">
        <f t="shared" si="7"/>
        <v/>
      </c>
      <c r="AD22" s="23" t="str">
        <f t="shared" si="7"/>
        <v/>
      </c>
      <c r="AE22" s="23" t="str">
        <f t="shared" si="7"/>
        <v/>
      </c>
      <c r="AF22" s="23" t="str">
        <f t="shared" si="7"/>
        <v/>
      </c>
      <c r="AG22" s="23" t="str">
        <f t="shared" si="7"/>
        <v/>
      </c>
      <c r="AH22" s="23" t="str">
        <f t="shared" si="7"/>
        <v/>
      </c>
      <c r="AI22" s="23" t="str">
        <f t="shared" si="7"/>
        <v/>
      </c>
      <c r="AJ22" s="23" t="str">
        <f t="shared" si="7"/>
        <v/>
      </c>
      <c r="AK22" s="23" t="str">
        <f t="shared" si="7"/>
        <v/>
      </c>
      <c r="AL22" s="23" t="str">
        <f t="shared" si="7"/>
        <v/>
      </c>
      <c r="AM22" s="23" t="str">
        <f t="shared" si="7"/>
        <v/>
      </c>
      <c r="AN22" s="23" t="str">
        <f t="shared" si="7"/>
        <v/>
      </c>
      <c r="AO22" s="23" t="str">
        <f t="shared" si="7"/>
        <v/>
      </c>
      <c r="AP22" s="23" t="str">
        <f t="shared" si="7"/>
        <v/>
      </c>
      <c r="AQ22" s="23" t="str">
        <f t="shared" si="4"/>
        <v/>
      </c>
      <c r="AR22" s="23" t="str">
        <f t="shared" si="4"/>
        <v/>
      </c>
      <c r="AS22" s="23" t="str">
        <f t="shared" si="4"/>
        <v/>
      </c>
      <c r="AT22" s="23" t="str">
        <f t="shared" si="4"/>
        <v/>
      </c>
      <c r="AU22" s="23" t="str">
        <f t="shared" si="4"/>
        <v/>
      </c>
      <c r="AV22" s="23" t="str">
        <f t="shared" si="4"/>
        <v/>
      </c>
      <c r="AW22" s="23" t="str">
        <f t="shared" si="4"/>
        <v/>
      </c>
    </row>
    <row r="23" spans="1:49" s="50" customFormat="1" hidden="1" outlineLevel="1" x14ac:dyDescent="0.35">
      <c r="A23" s="50" t="s">
        <v>23</v>
      </c>
      <c r="B23" s="50" t="s">
        <v>8</v>
      </c>
      <c r="C23" s="50" t="s">
        <v>12</v>
      </c>
      <c r="D23" s="52">
        <v>45009</v>
      </c>
      <c r="E23" s="50">
        <v>15</v>
      </c>
      <c r="F23" s="52">
        <f t="shared" si="2"/>
        <v>45030</v>
      </c>
      <c r="H23" s="2" t="s">
        <v>4</v>
      </c>
      <c r="I23" s="50">
        <v>0</v>
      </c>
      <c r="J23" s="64"/>
      <c r="K23" s="50" t="str">
        <f t="shared" si="6"/>
        <v/>
      </c>
      <c r="L23" s="50" t="str">
        <f t="shared" si="6"/>
        <v/>
      </c>
      <c r="M23" s="57" t="str">
        <f t="shared" si="6"/>
        <v/>
      </c>
      <c r="N23" s="57" t="str">
        <f t="shared" si="6"/>
        <v/>
      </c>
      <c r="O23" s="57" t="str">
        <f t="shared" si="6"/>
        <v/>
      </c>
      <c r="P23" s="57" t="str">
        <f t="shared" si="6"/>
        <v/>
      </c>
      <c r="Q23" s="57" t="str">
        <f t="shared" si="6"/>
        <v>u</v>
      </c>
      <c r="R23" s="57" t="str">
        <f t="shared" si="6"/>
        <v/>
      </c>
      <c r="S23" s="57" t="str">
        <f t="shared" si="6"/>
        <v/>
      </c>
      <c r="T23" s="57" t="str">
        <f t="shared" si="6"/>
        <v/>
      </c>
      <c r="U23" s="57" t="str">
        <f t="shared" si="6"/>
        <v/>
      </c>
      <c r="V23" s="57" t="str">
        <f t="shared" si="6"/>
        <v/>
      </c>
      <c r="W23" s="57" t="str">
        <f t="shared" si="6"/>
        <v/>
      </c>
      <c r="X23" s="57" t="str">
        <f t="shared" si="6"/>
        <v/>
      </c>
      <c r="Y23" s="57" t="str">
        <f t="shared" si="6"/>
        <v/>
      </c>
      <c r="Z23" s="57" t="str">
        <f t="shared" si="6"/>
        <v/>
      </c>
      <c r="AA23" s="57" t="str">
        <f t="shared" si="7"/>
        <v/>
      </c>
      <c r="AB23" s="57" t="str">
        <f t="shared" si="7"/>
        <v/>
      </c>
      <c r="AC23" s="57" t="str">
        <f t="shared" si="7"/>
        <v/>
      </c>
      <c r="AD23" s="57" t="str">
        <f t="shared" si="7"/>
        <v/>
      </c>
      <c r="AE23" s="57" t="str">
        <f t="shared" si="7"/>
        <v/>
      </c>
      <c r="AF23" s="57" t="str">
        <f t="shared" si="7"/>
        <v/>
      </c>
      <c r="AG23" s="57" t="str">
        <f t="shared" si="7"/>
        <v/>
      </c>
      <c r="AH23" s="57" t="str">
        <f t="shared" si="7"/>
        <v/>
      </c>
      <c r="AI23" s="57" t="str">
        <f t="shared" si="7"/>
        <v/>
      </c>
      <c r="AJ23" s="57" t="str">
        <f t="shared" si="7"/>
        <v/>
      </c>
      <c r="AK23" s="57" t="str">
        <f t="shared" si="7"/>
        <v/>
      </c>
      <c r="AL23" s="57" t="str">
        <f t="shared" si="7"/>
        <v/>
      </c>
      <c r="AM23" s="57" t="str">
        <f t="shared" si="7"/>
        <v/>
      </c>
      <c r="AN23" s="57" t="str">
        <f t="shared" si="7"/>
        <v/>
      </c>
      <c r="AO23" s="57" t="str">
        <f t="shared" si="7"/>
        <v/>
      </c>
      <c r="AP23" s="57" t="str">
        <f t="shared" si="7"/>
        <v/>
      </c>
      <c r="AQ23" s="57" t="str">
        <f t="shared" si="4"/>
        <v/>
      </c>
      <c r="AR23" s="57" t="str">
        <f t="shared" si="4"/>
        <v/>
      </c>
      <c r="AS23" s="57" t="str">
        <f t="shared" si="4"/>
        <v/>
      </c>
      <c r="AT23" s="57" t="str">
        <f t="shared" si="4"/>
        <v/>
      </c>
      <c r="AU23" s="57" t="str">
        <f t="shared" si="4"/>
        <v/>
      </c>
      <c r="AV23" s="57" t="str">
        <f t="shared" si="4"/>
        <v/>
      </c>
      <c r="AW23" s="57" t="str">
        <f t="shared" si="4"/>
        <v/>
      </c>
    </row>
    <row r="24" spans="1:49" s="50" customFormat="1" hidden="1" outlineLevel="1" x14ac:dyDescent="0.35">
      <c r="A24" s="50" t="s">
        <v>23</v>
      </c>
      <c r="D24" s="52">
        <f>+F23</f>
        <v>45030</v>
      </c>
      <c r="E24" s="50">
        <v>15</v>
      </c>
      <c r="F24" s="52">
        <f t="shared" si="2"/>
        <v>45051</v>
      </c>
      <c r="H24" s="2" t="s">
        <v>27</v>
      </c>
      <c r="I24" s="50">
        <v>0</v>
      </c>
      <c r="J24" s="64"/>
      <c r="K24" s="50" t="str">
        <f t="shared" si="6"/>
        <v/>
      </c>
      <c r="L24" s="50" t="str">
        <f t="shared" si="6"/>
        <v/>
      </c>
      <c r="M24" s="57" t="str">
        <f t="shared" si="6"/>
        <v/>
      </c>
      <c r="N24" s="57" t="str">
        <f t="shared" si="6"/>
        <v/>
      </c>
      <c r="O24" s="57" t="str">
        <f t="shared" si="6"/>
        <v/>
      </c>
      <c r="P24" s="57" t="str">
        <f t="shared" si="6"/>
        <v/>
      </c>
      <c r="Q24" s="57" t="str">
        <f t="shared" si="6"/>
        <v/>
      </c>
      <c r="R24" s="57" t="str">
        <f t="shared" si="6"/>
        <v/>
      </c>
      <c r="S24" s="57" t="str">
        <f t="shared" si="6"/>
        <v/>
      </c>
      <c r="T24" s="57" t="str">
        <f t="shared" si="6"/>
        <v>u</v>
      </c>
      <c r="U24" s="57" t="str">
        <f t="shared" si="6"/>
        <v/>
      </c>
      <c r="V24" s="57" t="str">
        <f t="shared" si="6"/>
        <v/>
      </c>
      <c r="W24" s="57" t="str">
        <f t="shared" si="6"/>
        <v/>
      </c>
      <c r="X24" s="57" t="str">
        <f t="shared" si="6"/>
        <v/>
      </c>
      <c r="Y24" s="57" t="str">
        <f t="shared" si="6"/>
        <v/>
      </c>
      <c r="Z24" s="57" t="str">
        <f t="shared" si="6"/>
        <v/>
      </c>
      <c r="AA24" s="57" t="str">
        <f t="shared" si="7"/>
        <v/>
      </c>
      <c r="AB24" s="57" t="str">
        <f t="shared" si="7"/>
        <v/>
      </c>
      <c r="AC24" s="57" t="str">
        <f t="shared" si="7"/>
        <v/>
      </c>
      <c r="AD24" s="57" t="str">
        <f t="shared" si="7"/>
        <v/>
      </c>
      <c r="AE24" s="57" t="str">
        <f t="shared" si="7"/>
        <v/>
      </c>
      <c r="AF24" s="57" t="str">
        <f t="shared" si="7"/>
        <v/>
      </c>
      <c r="AG24" s="57" t="str">
        <f t="shared" si="7"/>
        <v/>
      </c>
      <c r="AH24" s="57" t="str">
        <f t="shared" si="7"/>
        <v/>
      </c>
      <c r="AI24" s="57" t="str">
        <f t="shared" si="7"/>
        <v/>
      </c>
      <c r="AJ24" s="57" t="str">
        <f t="shared" si="7"/>
        <v/>
      </c>
      <c r="AK24" s="57" t="str">
        <f t="shared" si="7"/>
        <v/>
      </c>
      <c r="AL24" s="57" t="str">
        <f t="shared" si="7"/>
        <v/>
      </c>
      <c r="AM24" s="57" t="str">
        <f t="shared" si="7"/>
        <v/>
      </c>
      <c r="AN24" s="57" t="str">
        <f t="shared" si="7"/>
        <v/>
      </c>
      <c r="AO24" s="57" t="str">
        <f t="shared" si="7"/>
        <v/>
      </c>
      <c r="AP24" s="57" t="str">
        <f t="shared" si="7"/>
        <v/>
      </c>
      <c r="AQ24" s="57" t="str">
        <f t="shared" si="4"/>
        <v/>
      </c>
      <c r="AR24" s="57" t="str">
        <f t="shared" si="4"/>
        <v/>
      </c>
      <c r="AS24" s="57" t="str">
        <f t="shared" si="4"/>
        <v/>
      </c>
      <c r="AT24" s="57" t="str">
        <f t="shared" si="4"/>
        <v/>
      </c>
      <c r="AU24" s="57" t="str">
        <f t="shared" si="4"/>
        <v/>
      </c>
      <c r="AV24" s="57" t="str">
        <f t="shared" si="4"/>
        <v/>
      </c>
      <c r="AW24" s="57" t="str">
        <f t="shared" si="4"/>
        <v/>
      </c>
    </row>
    <row r="25" spans="1:49" s="50" customFormat="1" hidden="1" outlineLevel="1" x14ac:dyDescent="0.35">
      <c r="A25" s="50" t="s">
        <v>23</v>
      </c>
      <c r="B25" s="50" t="s">
        <v>9</v>
      </c>
      <c r="C25" s="50" t="s">
        <v>14</v>
      </c>
      <c r="D25" s="52">
        <f>+F24</f>
        <v>45051</v>
      </c>
      <c r="E25" s="50">
        <v>15</v>
      </c>
      <c r="F25" s="52">
        <f t="shared" si="2"/>
        <v>45072</v>
      </c>
      <c r="H25" s="2" t="s">
        <v>4</v>
      </c>
      <c r="I25" s="50">
        <v>0</v>
      </c>
      <c r="J25" s="64"/>
      <c r="K25" s="50" t="str">
        <f t="shared" si="6"/>
        <v/>
      </c>
      <c r="L25" s="50" t="str">
        <f t="shared" si="6"/>
        <v/>
      </c>
      <c r="M25" s="57" t="str">
        <f t="shared" si="6"/>
        <v/>
      </c>
      <c r="N25" s="57" t="str">
        <f t="shared" si="6"/>
        <v/>
      </c>
      <c r="O25" s="57" t="str">
        <f t="shared" si="6"/>
        <v/>
      </c>
      <c r="P25" s="57" t="str">
        <f t="shared" si="6"/>
        <v/>
      </c>
      <c r="Q25" s="57" t="str">
        <f t="shared" si="6"/>
        <v/>
      </c>
      <c r="R25" s="57" t="str">
        <f t="shared" si="6"/>
        <v/>
      </c>
      <c r="S25" s="57" t="str">
        <f t="shared" si="6"/>
        <v/>
      </c>
      <c r="T25" s="57" t="str">
        <f t="shared" si="6"/>
        <v/>
      </c>
      <c r="U25" s="57" t="str">
        <f t="shared" si="6"/>
        <v/>
      </c>
      <c r="V25" s="57" t="str">
        <f t="shared" si="6"/>
        <v/>
      </c>
      <c r="W25" s="57" t="str">
        <f t="shared" si="6"/>
        <v>u</v>
      </c>
      <c r="X25" s="57" t="str">
        <f t="shared" si="6"/>
        <v/>
      </c>
      <c r="Y25" s="57" t="str">
        <f t="shared" si="6"/>
        <v/>
      </c>
      <c r="Z25" s="57" t="str">
        <f t="shared" si="6"/>
        <v/>
      </c>
      <c r="AA25" s="57" t="str">
        <f t="shared" si="7"/>
        <v/>
      </c>
      <c r="AB25" s="57" t="str">
        <f t="shared" si="7"/>
        <v/>
      </c>
      <c r="AC25" s="57" t="str">
        <f t="shared" si="7"/>
        <v/>
      </c>
      <c r="AD25" s="57" t="str">
        <f t="shared" si="7"/>
        <v/>
      </c>
      <c r="AE25" s="57" t="str">
        <f t="shared" si="7"/>
        <v/>
      </c>
      <c r="AF25" s="57" t="str">
        <f t="shared" si="7"/>
        <v/>
      </c>
      <c r="AG25" s="57" t="str">
        <f t="shared" si="7"/>
        <v/>
      </c>
      <c r="AH25" s="57" t="str">
        <f t="shared" si="7"/>
        <v/>
      </c>
      <c r="AI25" s="57" t="str">
        <f t="shared" si="7"/>
        <v/>
      </c>
      <c r="AJ25" s="57" t="str">
        <f t="shared" si="7"/>
        <v/>
      </c>
      <c r="AK25" s="57" t="str">
        <f t="shared" si="7"/>
        <v/>
      </c>
      <c r="AL25" s="57" t="str">
        <f t="shared" si="7"/>
        <v/>
      </c>
      <c r="AM25" s="57" t="str">
        <f t="shared" si="7"/>
        <v/>
      </c>
      <c r="AN25" s="57" t="str">
        <f t="shared" si="7"/>
        <v/>
      </c>
      <c r="AO25" s="57" t="str">
        <f t="shared" si="7"/>
        <v/>
      </c>
      <c r="AP25" s="57" t="str">
        <f t="shared" si="7"/>
        <v/>
      </c>
      <c r="AQ25" s="57" t="str">
        <f t="shared" si="4"/>
        <v/>
      </c>
      <c r="AR25" s="57" t="str">
        <f t="shared" si="4"/>
        <v/>
      </c>
      <c r="AS25" s="57" t="str">
        <f t="shared" si="4"/>
        <v/>
      </c>
      <c r="AT25" s="57" t="str">
        <f t="shared" si="4"/>
        <v/>
      </c>
      <c r="AU25" s="57" t="str">
        <f t="shared" si="4"/>
        <v/>
      </c>
      <c r="AV25" s="57" t="str">
        <f t="shared" si="4"/>
        <v/>
      </c>
      <c r="AW25" s="57" t="str">
        <f t="shared" si="4"/>
        <v/>
      </c>
    </row>
    <row r="26" spans="1:49" s="50" customFormat="1" hidden="1" outlineLevel="1" x14ac:dyDescent="0.35">
      <c r="A26" s="50" t="s">
        <v>23</v>
      </c>
      <c r="B26" s="50" t="s">
        <v>10</v>
      </c>
      <c r="C26" s="50" t="s">
        <v>13</v>
      </c>
      <c r="D26" s="52">
        <f>+F25</f>
        <v>45072</v>
      </c>
      <c r="E26" s="50">
        <v>15</v>
      </c>
      <c r="F26" s="52">
        <f t="shared" si="2"/>
        <v>45093</v>
      </c>
      <c r="H26" s="2"/>
      <c r="I26" s="50">
        <v>0</v>
      </c>
      <c r="J26" s="64"/>
      <c r="K26" s="50" t="str">
        <f t="shared" si="6"/>
        <v/>
      </c>
      <c r="L26" s="50" t="str">
        <f t="shared" si="6"/>
        <v/>
      </c>
      <c r="M26" s="57" t="str">
        <f t="shared" si="6"/>
        <v/>
      </c>
      <c r="N26" s="57" t="str">
        <f t="shared" si="6"/>
        <v/>
      </c>
      <c r="O26" s="57" t="str">
        <f t="shared" si="6"/>
        <v/>
      </c>
      <c r="P26" s="57" t="str">
        <f t="shared" si="6"/>
        <v/>
      </c>
      <c r="Q26" s="57" t="str">
        <f t="shared" si="6"/>
        <v/>
      </c>
      <c r="R26" s="57" t="str">
        <f t="shared" si="6"/>
        <v/>
      </c>
      <c r="S26" s="57" t="str">
        <f t="shared" si="6"/>
        <v/>
      </c>
      <c r="T26" s="57" t="str">
        <f t="shared" si="6"/>
        <v/>
      </c>
      <c r="U26" s="57" t="str">
        <f t="shared" si="6"/>
        <v/>
      </c>
      <c r="V26" s="57" t="str">
        <f t="shared" si="6"/>
        <v/>
      </c>
      <c r="W26" s="57" t="str">
        <f t="shared" si="6"/>
        <v/>
      </c>
      <c r="X26" s="57" t="str">
        <f t="shared" si="6"/>
        <v/>
      </c>
      <c r="Y26" s="57" t="str">
        <f t="shared" si="6"/>
        <v/>
      </c>
      <c r="Z26" s="57" t="str">
        <f t="shared" si="6"/>
        <v>u</v>
      </c>
      <c r="AA26" s="57" t="str">
        <f t="shared" si="7"/>
        <v/>
      </c>
      <c r="AB26" s="57" t="str">
        <f t="shared" si="7"/>
        <v/>
      </c>
      <c r="AC26" s="57" t="str">
        <f t="shared" si="7"/>
        <v/>
      </c>
      <c r="AD26" s="57" t="str">
        <f t="shared" si="7"/>
        <v/>
      </c>
      <c r="AE26" s="57" t="str">
        <f t="shared" si="7"/>
        <v/>
      </c>
      <c r="AF26" s="57" t="str">
        <f t="shared" si="7"/>
        <v/>
      </c>
      <c r="AG26" s="57" t="str">
        <f t="shared" si="7"/>
        <v/>
      </c>
      <c r="AH26" s="57" t="str">
        <f t="shared" si="7"/>
        <v/>
      </c>
      <c r="AI26" s="57" t="str">
        <f t="shared" si="7"/>
        <v/>
      </c>
      <c r="AJ26" s="57" t="str">
        <f t="shared" si="7"/>
        <v/>
      </c>
      <c r="AK26" s="57" t="str">
        <f t="shared" si="7"/>
        <v/>
      </c>
      <c r="AL26" s="57" t="str">
        <f t="shared" si="7"/>
        <v/>
      </c>
      <c r="AM26" s="57" t="str">
        <f t="shared" si="7"/>
        <v/>
      </c>
      <c r="AN26" s="57" t="str">
        <f t="shared" si="7"/>
        <v/>
      </c>
      <c r="AO26" s="57" t="str">
        <f t="shared" si="7"/>
        <v/>
      </c>
      <c r="AP26" s="57" t="str">
        <f t="shared" si="7"/>
        <v/>
      </c>
      <c r="AQ26" s="57" t="str">
        <f t="shared" si="4"/>
        <v/>
      </c>
      <c r="AR26" s="57" t="str">
        <f t="shared" si="4"/>
        <v/>
      </c>
      <c r="AS26" s="57" t="str">
        <f t="shared" si="4"/>
        <v/>
      </c>
      <c r="AT26" s="57" t="str">
        <f t="shared" si="4"/>
        <v/>
      </c>
      <c r="AU26" s="57" t="str">
        <f t="shared" si="4"/>
        <v/>
      </c>
      <c r="AV26" s="57" t="str">
        <f t="shared" si="4"/>
        <v/>
      </c>
      <c r="AW26" s="57" t="str">
        <f t="shared" si="4"/>
        <v/>
      </c>
    </row>
    <row r="27" spans="1:49" s="25" customFormat="1" collapsed="1" x14ac:dyDescent="0.35">
      <c r="A27" s="29"/>
      <c r="B27" s="29"/>
      <c r="C27" s="29"/>
      <c r="D27" s="38"/>
      <c r="E27" s="38"/>
      <c r="F27" s="56"/>
      <c r="G27" s="40"/>
      <c r="H27" s="37"/>
      <c r="I27" s="49"/>
      <c r="J27" s="63"/>
      <c r="K27" s="3" t="str">
        <f t="shared" si="6"/>
        <v/>
      </c>
      <c r="L27" s="3" t="str">
        <f t="shared" si="6"/>
        <v/>
      </c>
      <c r="M27" s="3" t="str">
        <f t="shared" si="6"/>
        <v/>
      </c>
      <c r="N27" s="23" t="str">
        <f t="shared" si="6"/>
        <v/>
      </c>
      <c r="O27" s="23" t="str">
        <f t="shared" si="6"/>
        <v/>
      </c>
      <c r="P27" s="23" t="str">
        <f t="shared" si="6"/>
        <v/>
      </c>
      <c r="Q27" s="23" t="str">
        <f t="shared" si="6"/>
        <v/>
      </c>
      <c r="R27" s="23" t="str">
        <f t="shared" si="6"/>
        <v/>
      </c>
      <c r="S27" s="23" t="str">
        <f t="shared" si="6"/>
        <v/>
      </c>
      <c r="T27" s="23" t="str">
        <f t="shared" si="6"/>
        <v/>
      </c>
      <c r="U27" s="23" t="str">
        <f t="shared" si="6"/>
        <v/>
      </c>
      <c r="V27" s="23" t="str">
        <f t="shared" si="6"/>
        <v/>
      </c>
      <c r="W27" s="23" t="str">
        <f t="shared" si="6"/>
        <v/>
      </c>
      <c r="X27" s="23" t="str">
        <f t="shared" si="6"/>
        <v/>
      </c>
      <c r="Y27" s="23" t="str">
        <f t="shared" si="6"/>
        <v/>
      </c>
      <c r="Z27" s="23" t="str">
        <f t="shared" si="6"/>
        <v/>
      </c>
      <c r="AA27" s="23" t="str">
        <f t="shared" si="7"/>
        <v/>
      </c>
      <c r="AB27" s="23" t="str">
        <f t="shared" si="7"/>
        <v/>
      </c>
      <c r="AC27" s="23" t="str">
        <f t="shared" si="7"/>
        <v/>
      </c>
      <c r="AD27" s="23" t="str">
        <f t="shared" si="7"/>
        <v/>
      </c>
      <c r="AE27" s="23" t="str">
        <f t="shared" si="7"/>
        <v/>
      </c>
      <c r="AF27" s="23" t="str">
        <f t="shared" si="7"/>
        <v/>
      </c>
      <c r="AG27" s="23" t="str">
        <f t="shared" si="7"/>
        <v/>
      </c>
      <c r="AH27" s="23" t="str">
        <f t="shared" si="7"/>
        <v/>
      </c>
      <c r="AI27" s="23" t="str">
        <f t="shared" si="7"/>
        <v/>
      </c>
      <c r="AJ27" s="23" t="str">
        <f t="shared" si="7"/>
        <v/>
      </c>
      <c r="AK27" s="23" t="str">
        <f t="shared" si="7"/>
        <v/>
      </c>
      <c r="AL27" s="23" t="str">
        <f t="shared" si="7"/>
        <v/>
      </c>
      <c r="AM27" s="23" t="str">
        <f t="shared" si="7"/>
        <v/>
      </c>
      <c r="AN27" s="23" t="str">
        <f t="shared" si="7"/>
        <v/>
      </c>
      <c r="AO27" s="23" t="str">
        <f t="shared" si="7"/>
        <v/>
      </c>
      <c r="AP27" s="23" t="str">
        <f t="shared" si="7"/>
        <v/>
      </c>
      <c r="AQ27" s="23" t="str">
        <f t="shared" si="4"/>
        <v/>
      </c>
      <c r="AR27" s="23" t="str">
        <f t="shared" si="4"/>
        <v/>
      </c>
      <c r="AS27" s="23" t="str">
        <f t="shared" si="4"/>
        <v/>
      </c>
      <c r="AT27" s="23" t="str">
        <f t="shared" si="4"/>
        <v/>
      </c>
      <c r="AU27" s="23" t="str">
        <f t="shared" si="4"/>
        <v/>
      </c>
      <c r="AV27" s="23" t="str">
        <f t="shared" si="4"/>
        <v/>
      </c>
      <c r="AW27" s="23" t="str">
        <f t="shared" si="4"/>
        <v/>
      </c>
    </row>
  </sheetData>
  <autoFilter ref="A3:AX27" xr:uid="{383C9D74-3CE4-4A4B-AE65-56E8EE91EC0D}"/>
  <mergeCells count="10">
    <mergeCell ref="AI1:AL1"/>
    <mergeCell ref="AM1:AP1"/>
    <mergeCell ref="AQ1:AT1"/>
    <mergeCell ref="AU1:AX1"/>
    <mergeCell ref="K1:N1"/>
    <mergeCell ref="O1:R1"/>
    <mergeCell ref="S1:V1"/>
    <mergeCell ref="W1:Z1"/>
    <mergeCell ref="AA1:AD1"/>
    <mergeCell ref="AE1:AH1"/>
  </mergeCells>
  <conditionalFormatting sqref="H3:H4 H8 H17 H22">
    <cfRule type="cellIs" dxfId="10" priority="3" operator="equal">
      <formula>"AT RISK"</formula>
    </cfRule>
    <cfRule type="cellIs" dxfId="9" priority="4" operator="equal">
      <formula>"DONE"</formula>
    </cfRule>
    <cfRule type="cellIs" dxfId="8" priority="6" operator="equal">
      <formula>"NOT SARTED"</formula>
    </cfRule>
    <cfRule type="cellIs" dxfId="7" priority="7" operator="equal">
      <formula>"IN PROGRESS"</formula>
    </cfRule>
    <cfRule type="cellIs" dxfId="6" priority="8" operator="equal">
      <formula>"BLOCKED"</formula>
    </cfRule>
  </conditionalFormatting>
  <conditionalFormatting sqref="D4 D8 D17 D22">
    <cfRule type="expression" dxfId="5" priority="9">
      <formula>$D4&lt;$C$2</formula>
    </cfRule>
  </conditionalFormatting>
  <conditionalFormatting sqref="A4:J4 A8:J8 B5:J7 A10:J10 B9:J9 A13:J13 B11:J12 A17:J17 B14:J16 A22:J22 B18:J21 A27:J53 B23:J26">
    <cfRule type="expression" dxfId="4" priority="10">
      <formula>$A4="H"</formula>
    </cfRule>
  </conditionalFormatting>
  <conditionalFormatting sqref="K4:AX54">
    <cfRule type="expression" dxfId="3" priority="1">
      <formula>AND(K$2&gt;$D4-(WEEKDAY($D4,2)+1),K$2 &lt; $F4,$J4="CP")</formula>
    </cfRule>
    <cfRule type="expression" dxfId="2" priority="2">
      <formula>AND(K$2&gt;$D4-(WEEKDAY($D4,2)+1),K$2 &lt; $F4,$A4="H")</formula>
    </cfRule>
    <cfRule type="expression" dxfId="1" priority="5">
      <formula>AND(K$2&gt;$D4-(WEEKDAY($D4,2)+1),K$2 &lt; $F4)</formula>
    </cfRule>
    <cfRule type="expression" dxfId="0" priority="11">
      <formula>AND($I4&gt;0, K$2 &lt;= ($D4+($F4-$D4)* $I4)-WEEKDAY(($D4+($F4-$D4)*$I4),2)+1, K$2 &gt;= $D4- WEEKDAY($D4, 2)+1)</formula>
    </cfRule>
  </conditionalFormatting>
  <pageMargins left="0.7" right="0.7" top="0.75" bottom="0.75" header="0.3" footer="0.3"/>
  <pageSetup paperSize="9" orientation="portrait" r:id="rId1"/>
  <headerFooter>
    <oddFooter>&amp;C&amp;1#&amp;"Calibri"&amp;8&amp;K000000Commercial in Confidence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HeaderWorkingDays">
                <anchor moveWithCells="1">
                  <from>
                    <xdr:col>5</xdr:col>
                    <xdr:colOff>101600</xdr:colOff>
                    <xdr:row>0</xdr:row>
                    <xdr:rowOff>171450</xdr:rowOff>
                  </from>
                  <to>
                    <xdr:col>6</xdr:col>
                    <xdr:colOff>279400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roupTask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114300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RemoveGrouping">
                <anchor moveWithCells="1" sizeWithCells="1">
                  <from>
                    <xdr:col>0</xdr:col>
                    <xdr:colOff>6350</xdr:colOff>
                    <xdr:row>0</xdr:row>
                    <xdr:rowOff>177800</xdr:rowOff>
                  </from>
                  <to>
                    <xdr:col>1</xdr:col>
                    <xdr:colOff>101600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84C129-EB6A-4E47-A4EA-42F5376C0B51}">
          <x14:formula1>
            <xm:f>lkup!$A:$A</xm:f>
          </x14:formula1>
          <xm:sqref>H3:H25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1D7C-A759-4763-BD89-22AF3F180BAA}">
  <sheetPr codeName="Sheet5"/>
  <dimension ref="A1:A6"/>
  <sheetViews>
    <sheetView workbookViewId="0">
      <selection activeCell="A5" sqref="A5"/>
    </sheetView>
  </sheetViews>
  <sheetFormatPr defaultRowHeight="14.5" x14ac:dyDescent="0.35"/>
  <sheetData>
    <row r="1" spans="1:1" x14ac:dyDescent="0.35">
      <c r="A1" t="s">
        <v>17</v>
      </c>
    </row>
    <row r="2" spans="1:1" x14ac:dyDescent="0.35">
      <c r="A2" t="s">
        <v>4</v>
      </c>
    </row>
    <row r="3" spans="1:1" x14ac:dyDescent="0.35">
      <c r="A3" t="s">
        <v>5</v>
      </c>
    </row>
    <row r="4" spans="1:1" x14ac:dyDescent="0.35">
      <c r="A4" t="s">
        <v>27</v>
      </c>
    </row>
    <row r="5" spans="1:1" x14ac:dyDescent="0.35">
      <c r="A5" t="s">
        <v>3</v>
      </c>
    </row>
    <row r="6" spans="1:1" x14ac:dyDescent="0.35">
      <c r="A6" t="s">
        <v>16</v>
      </c>
    </row>
  </sheetData>
  <pageMargins left="0.7" right="0.7" top="0.75" bottom="0.75" header="0.3" footer="0.3"/>
  <pageSetup orientation="portrait" r:id="rId1"/>
  <headerFooter>
    <oddFooter>&amp;C&amp;1#&amp;"Calibri"&amp;8&amp;K000000Commercial in Confidence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</vt:lpstr>
      <vt:lpstr>TEST</vt:lpstr>
      <vt:lpstr>DEV</vt:lpstr>
      <vt:lpstr>lkup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Joubert</dc:creator>
  <cp:lastModifiedBy>Michael Joubert</cp:lastModifiedBy>
  <dcterms:created xsi:type="dcterms:W3CDTF">2023-03-12T09:48:44Z</dcterms:created>
  <dcterms:modified xsi:type="dcterms:W3CDTF">2023-03-26T09:40:44Z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f2f7b76-1c82-4947-b7c3-fb47b7a6cffe_Enabled">
    <vt:lpwstr>true</vt:lpwstr>
  </property>
  <property fmtid="{D5CDD505-2E9C-101B-9397-08002B2CF9AE}" pid="3" name="MSIP_Label_cf2f7b76-1c82-4947-b7c3-fb47b7a6cffe_SetDate">
    <vt:lpwstr>2023-03-20T07:36:53Z</vt:lpwstr>
  </property>
  <property fmtid="{D5CDD505-2E9C-101B-9397-08002B2CF9AE}" pid="4" name="MSIP_Label_cf2f7b76-1c82-4947-b7c3-fb47b7a6cffe_Method">
    <vt:lpwstr>Privileged</vt:lpwstr>
  </property>
  <property fmtid="{D5CDD505-2E9C-101B-9397-08002B2CF9AE}" pid="5" name="MSIP_Label_cf2f7b76-1c82-4947-b7c3-fb47b7a6cffe_Name">
    <vt:lpwstr>cf2f7b76-1c82-4947-b7c3-fb47b7a6cffe</vt:lpwstr>
  </property>
  <property fmtid="{D5CDD505-2E9C-101B-9397-08002B2CF9AE}" pid="6" name="MSIP_Label_cf2f7b76-1c82-4947-b7c3-fb47b7a6cffe_SiteId">
    <vt:lpwstr>19e2b708-bf12-4375-9719-8dec42771b3e</vt:lpwstr>
  </property>
  <property fmtid="{D5CDD505-2E9C-101B-9397-08002B2CF9AE}" pid="7" name="MSIP_Label_cf2f7b76-1c82-4947-b7c3-fb47b7a6cffe_ActionId">
    <vt:lpwstr>5f930dc8-9049-4c97-96e5-aa1433d5bcd1</vt:lpwstr>
  </property>
  <property fmtid="{D5CDD505-2E9C-101B-9397-08002B2CF9AE}" pid="8" name="MSIP_Label_cf2f7b76-1c82-4947-b7c3-fb47b7a6cffe_ContentBits">
    <vt:lpwstr>2</vt:lpwstr>
  </property>
</Properties>
</file>